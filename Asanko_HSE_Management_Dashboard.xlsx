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worksheets/sheet15.xml" ContentType="application/vnd.openxmlformats-officedocument.spreadsheetml.worksheet+xml"/>
  <Override PartName="/xl/tables/table8.xml" ContentType="application/vnd.openxmlformats-officedocument.spreadsheetml.table+xml"/>
  <Override PartName="/xl/worksheets/sheet16.xml" ContentType="application/vnd.openxmlformats-officedocument.spreadsheetml.worksheet+xml"/>
  <Override PartName="/xl/tables/table9.xml" ContentType="application/vnd.openxmlformats-officedocument.spreadsheetml.table+xml"/>
  <Override PartName="/xl/worksheets/sheet17.xml" ContentType="application/vnd.openxmlformats-officedocument.spreadsheetml.worksheet+xml"/>
  <Override PartName="/xl/tables/table10.xml" ContentType="application/vnd.openxmlformats-officedocument.spreadsheetml.table+xml"/>
  <Override PartName="/xl/worksheets/sheet18.xml" ContentType="application/vnd.openxmlformats-officedocument.spreadsheetml.worksheet+xml"/>
  <Override PartName="/xl/tables/table11.xml" ContentType="application/vnd.openxmlformats-officedocument.spreadsheetml.table+xml"/>
  <Override PartName="/xl/worksheets/sheet19.xml" ContentType="application/vnd.openxmlformats-officedocument.spreadsheetml.worksheet+xml"/>
  <Override PartName="/xl/tables/table12.xml" ContentType="application/vnd.openxmlformats-officedocument.spreadsheetml.table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Me" sheetId="1" state="visible" r:id="rId1"/>
    <sheet name="Dashboard" sheetId="2" state="visible" r:id="rId2"/>
    <sheet name="Incident_Register" sheetId="3" state="visible" r:id="rId3"/>
    <sheet name="Activity_Log" sheetId="4" state="visible" r:id="rId4"/>
    <sheet name="Settings" sheetId="5" state="visible" r:id="rId5"/>
    <sheet name="Lists" sheetId="6" state="hidden" r:id="rId6"/>
    <sheet name="Near_Miss" sheetId="7" state="visible" r:id="rId7"/>
    <sheet name="Risk_Matrix" sheetId="8" state="visible" r:id="rId8"/>
    <sheet name="Inspections" sheetId="9" state="visible" r:id="rId9"/>
    <sheet name="Training" sheetId="10" state="visible" r:id="rId10"/>
    <sheet name="Corrective_Actions" sheetId="11" state="visible" r:id="rId11"/>
    <sheet name="Compliance" sheetId="12" state="visible" r:id="rId12"/>
    <sheet name="Environmental" sheetId="13" state="visible" r:id="rId13"/>
    <sheet name="Contractors" sheetId="14" state="visible" r:id="rId14"/>
    <sheet name="Permits" sheetId="15" state="visible" r:id="rId15"/>
    <sheet name="Audits" sheetId="16" state="visible" r:id="rId16"/>
    <sheet name="Drills" sheetId="17" state="visible" r:id="rId17"/>
    <sheet name="PPE" sheetId="18" state="visible" r:id="rId18"/>
    <sheet name="Equipment" sheetId="19" state="visible" r:id="rId19"/>
    <sheet name="Calc" sheetId="20" state="hidden" r:id="rId20"/>
  </sheets>
  <definedNames>
    <definedName name="F_Year">Dashboard!$C$6</definedName>
    <definedName name="F_Month">Dashboard!$F$6</definedName>
    <definedName name="F_Dept">Dashboard!$I$6</definedName>
    <definedName name="F_Loc">Dashboard!$L$6</definedName>
    <definedName name="ENV_COMPLIANCE_PCT">Environmental!$C$4</definedName>
    <definedName name="TypeList">Lists!$A$8:$A$14</definedName>
    <definedName name="ClassList">Lists!$B$8:$B$19</definedName>
    <definedName name="IncStatusList">Lists!$C$8:$C$11</definedName>
    <definedName name="AreaList">Lists!$D$8:$D$25</definedName>
    <definedName name="DeptList">Lists!$E$8:$E$15</definedName>
    <definedName name="SeverityList">Lists!$F$8:$F$12</definedName>
    <definedName name="ActionStatusList">Lists!$G$8:$G$11</definedName>
    <definedName name="MonthList">Lists!$H$8:$H$20</definedName>
    <definedName name="YearList">Lists!$I$8:$I$11</definedName>
    <definedName name="CompanyList">Lists!$J$8:$J$14</definedName>
    <definedName name="YesNoList">Lists!$K$8:$K$9</definedName>
    <definedName name="AdequacyList">Lists!$L$8:$L$10</definedName>
    <definedName name="PriorityList">Lists!$M$8:$M$11</definedName>
    <definedName name="AuditTypeList">Lists!$N$8:$N$10</definedName>
    <definedName name="AreaFilterList">Lists!$O$8:$O$26</definedName>
    <definedName name="DeptFilterList">Lists!$P$8:$P$16</definedName>
    <definedName name="RATE_BASE">Settings!$B$8</definedName>
    <definedName name="RATE_BASE_OSHA">Settings!$B$9</definedName>
    <definedName name="TARGET_TRIFR">Settings!$B$10</definedName>
    <definedName name="TARGET_LTIFR">Settings!$B$11</definedName>
    <definedName name="TARGET_INSPECTION">Settings!$B$12</definedName>
    <definedName name="TARGET_TRAINING">Settings!$B$13</definedName>
    <definedName name="TARGET_ENV">Settings!$B$14</definedName>
    <definedName name="TARGET_NEARMISS">Settings!$B$15</definedName>
    <definedName name="NEARMISS_RATIO_TGT">Settings!$B$16</definedName>
    <definedName name="THRESH_LTI_GOOD">Settings!$B$17</definedName>
    <definedName name="THRESH_LTI_WARN">Settings!$B$18</definedName>
    <definedName name="PM10_LIMIT">Settings!$B$19</definedName>
    <definedName name="PH_MIN">Settings!$B$20</definedName>
    <definedName name="PH_MAX">Settings!$B$21</definedName>
    <definedName name="WADCN_LIMIT">Settings!$B$22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0.0%"/>
    <numFmt numFmtId="167" formatCode="#,##0.0"/>
    <numFmt numFmtId="168" formatCode="0.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0F2A43"/>
      <sz val="10"/>
    </font>
    <font>
      <i val="1"/>
      <color rgb="006B7280"/>
    </font>
    <font>
      <b val="1"/>
      <color rgb="00FFFFFF"/>
    </font>
    <font>
      <b val="1"/>
      <color rgb="000F2A43"/>
    </font>
    <font>
      <i val="1"/>
      <color rgb="006B7280"/>
      <sz val="9"/>
    </font>
    <font>
      <b val="1"/>
      <color rgb="00FFFFFF"/>
      <sz val="10"/>
    </font>
    <font>
      <b val="1"/>
      <color rgb="00FFFFFF"/>
      <sz val="9"/>
    </font>
    <font>
      <b val="1"/>
      <color rgb="00FFFFFF"/>
      <sz val="11"/>
    </font>
    <font>
      <b val="1"/>
      <color rgb="000F2A43"/>
      <sz val="9"/>
    </font>
    <font>
      <b val="1"/>
      <color rgb="006B7280"/>
      <sz val="9"/>
    </font>
    <font>
      <b val="1"/>
      <color rgb="000F2A43"/>
      <sz val="24"/>
    </font>
    <font>
      <b val="1"/>
      <color rgb="0033475B"/>
    </font>
    <font>
      <b val="1"/>
      <color rgb="000F2A43"/>
      <sz val="14"/>
    </font>
    <font>
      <color rgb="0033475B"/>
      <sz val="10"/>
    </font>
  </fonts>
  <fills count="11">
    <fill>
      <patternFill/>
    </fill>
    <fill>
      <patternFill patternType="gray125"/>
    </fill>
    <fill>
      <patternFill patternType="solid">
        <fgColor rgb="000F2A43"/>
        <bgColor rgb="000F2A43"/>
      </patternFill>
    </fill>
    <fill>
      <patternFill patternType="solid">
        <fgColor rgb="00C9A227"/>
        <bgColor rgb="00C9A227"/>
      </patternFill>
    </fill>
    <fill>
      <patternFill patternType="solid">
        <fgColor rgb="001B3A5B"/>
        <bgColor rgb="001B3A5B"/>
      </patternFill>
    </fill>
    <fill>
      <patternFill patternType="solid">
        <fgColor rgb="00F2F4F7"/>
        <bgColor rgb="00F2F4F7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000"/>
        <bgColor rgb="00FFC000"/>
      </patternFill>
    </fill>
    <fill>
      <patternFill patternType="solid">
        <fgColor rgb="00FF6B6B"/>
        <bgColor rgb="00FF6B6B"/>
      </patternFill>
    </fill>
  </fills>
  <borders count="15">
    <border>
      <left/>
      <right/>
      <top/>
      <bottom/>
      <diagonal/>
    </border>
    <border>
      <left style="thin">
        <color rgb="00D6DCE5"/>
      </left>
      <right style="thin">
        <color rgb="00D6DCE5"/>
      </right>
      <top style="thin">
        <color rgb="00D6DCE5"/>
      </top>
      <bottom style="thin">
        <color rgb="00D6DCE5"/>
      </bottom>
    </border>
    <border>
      <left style="medium">
        <color rgb="000F2A43"/>
      </left>
      <right style="medium">
        <color rgb="000F2A43"/>
      </right>
      <top style="medium">
        <color rgb="000F2A43"/>
      </top>
      <bottom style="medium">
        <color rgb="000F2A43"/>
      </bottom>
    </border>
    <border>
      <left/>
      <right/>
      <top style="medium">
        <color rgb="000F2A43"/>
      </top>
      <bottom/>
      <diagonal/>
    </border>
    <border>
      <left/>
      <right style="medium">
        <color rgb="000F2A43"/>
      </right>
      <top style="medium">
        <color rgb="000F2A43"/>
      </top>
      <bottom/>
      <diagonal/>
    </border>
    <border>
      <left/>
      <right style="medium">
        <color rgb="000F2A43"/>
      </right>
      <top style="medium">
        <color rgb="000F2A43"/>
      </top>
      <bottom style="medium">
        <color rgb="000F2A43"/>
      </bottom>
      <diagonal/>
    </border>
    <border>
      <left/>
      <right/>
      <top style="thin">
        <color rgb="00D6DCE5"/>
      </top>
      <bottom/>
      <diagonal/>
    </border>
    <border>
      <left/>
      <right style="thin">
        <color rgb="00D6DCE5"/>
      </right>
      <top style="thin">
        <color rgb="00D6DCE5"/>
      </top>
      <bottom/>
      <diagonal/>
    </border>
    <border>
      <left/>
      <right/>
      <top style="thin">
        <color rgb="00D6DCE5"/>
      </top>
      <bottom style="thin">
        <color rgb="00D6DCE5"/>
      </bottom>
      <diagonal/>
    </border>
    <border>
      <left/>
      <right style="thin">
        <color rgb="00D6DCE5"/>
      </right>
      <top style="thin">
        <color rgb="00D6DCE5"/>
      </top>
      <bottom style="thin">
        <color rgb="00D6DCE5"/>
      </bottom>
      <diagonal/>
    </border>
    <border>
      <left style="thin">
        <color rgb="00D6DCE5"/>
      </left>
      <right/>
      <top/>
      <bottom/>
      <diagonal/>
    </border>
    <border>
      <left/>
      <right style="thin">
        <color rgb="00D6DCE5"/>
      </right>
      <top/>
      <bottom/>
      <diagonal/>
    </border>
    <border>
      <left style="thin">
        <color rgb="00D6DCE5"/>
      </left>
      <right/>
      <top/>
      <bottom style="thin">
        <color rgb="00D6DCE5"/>
      </bottom>
      <diagonal/>
    </border>
    <border>
      <left/>
      <right/>
      <top/>
      <bottom style="thin">
        <color rgb="00D6DCE5"/>
      </bottom>
      <diagonal/>
    </border>
    <border>
      <left/>
      <right style="thin">
        <color rgb="00D6DCE5"/>
      </right>
      <top/>
      <bottom style="thin">
        <color rgb="00D6DCE5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9" fillId="4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11" fillId="0" borderId="0" applyAlignment="1" pivotButton="0" quotePrefix="0" xfId="0">
      <alignment horizontal="right" vertical="center"/>
    </xf>
    <xf numFmtId="165" fontId="5" fillId="0" borderId="0" pivotButton="0" quotePrefix="0" xfId="0"/>
    <xf numFmtId="0" fontId="11" fillId="3" borderId="1" applyAlignment="1" pivotButton="0" quotePrefix="0" xfId="0">
      <alignment horizontal="left" vertical="center" indent="2"/>
    </xf>
    <xf numFmtId="0" fontId="0" fillId="0" borderId="8" pivotButton="0" quotePrefix="0" xfId="0"/>
    <xf numFmtId="0" fontId="0" fillId="0" borderId="9" pivotButton="0" quotePrefix="0" xfId="0"/>
    <xf numFmtId="0" fontId="11" fillId="4" borderId="1" applyAlignment="1" pivotButton="0" quotePrefix="0" xfId="0">
      <alignment horizontal="left" vertical="center" indent="2"/>
    </xf>
    <xf numFmtId="3" fontId="12" fillId="3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3" fontId="12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8" fillId="4" borderId="1" applyAlignment="1" pivotButton="0" quotePrefix="0" xfId="0">
      <alignment horizontal="center" vertical="center" wrapText="1"/>
    </xf>
    <xf numFmtId="166" fontId="12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left" vertical="center" wrapText="1"/>
    </xf>
    <xf numFmtId="1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left" vertical="center" wrapText="1"/>
    </xf>
    <xf numFmtId="17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5" borderId="1" applyAlignment="1" pivotButton="0" quotePrefix="0" xfId="0">
      <alignment horizontal="center" vertical="center" wrapText="1"/>
    </xf>
    <xf numFmtId="9" fontId="5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4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9" fontId="0" fillId="0" borderId="0" pivotButton="0" quotePrefix="0" xfId="0"/>
    <xf numFmtId="9" fontId="12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66" fontId="14" fillId="5" borderId="2" pivotButton="0" quotePrefix="0" xfId="0"/>
    <xf numFmtId="167" fontId="0" fillId="0" borderId="1" applyAlignment="1" pivotButton="0" quotePrefix="0" xfId="0">
      <alignment horizontal="center" vertical="center" wrapText="1"/>
    </xf>
    <xf numFmtId="168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 wrapText="1"/>
    </xf>
    <xf numFmtId="2" fontId="0" fillId="0" borderId="0" pivotButton="0" quotePrefix="0" xfId="0"/>
  </cellXfs>
  <cellStyles count="1">
    <cellStyle name="Normal" xfId="0" builtinId="0" hidden="0"/>
  </cellStyles>
  <dxfs count="18">
    <dxf>
      <font>
        <b val="1"/>
        <color rgb="001A7A3D"/>
        <sz val="9"/>
      </font>
      <fill>
        <patternFill patternType="solid">
          <fgColor rgb="00C6EFCE"/>
          <bgColor rgb="00C6EFCE"/>
        </patternFill>
      </fill>
    </dxf>
    <dxf>
      <font>
        <b val="1"/>
        <color rgb="008A6D00"/>
        <sz val="9"/>
      </font>
      <fill>
        <patternFill patternType="solid">
          <fgColor rgb="00FFEB9C"/>
          <bgColor rgb="00FFEB9C"/>
        </patternFill>
      </fill>
    </dxf>
    <dxf>
      <font>
        <b val="1"/>
        <color rgb="009C0006"/>
        <sz val="9"/>
      </font>
      <fill>
        <patternFill patternType="solid">
          <fgColor rgb="00FFC7CE"/>
          <bgColor rgb="00FFC7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8A6D00"/>
      </font>
      <fill>
        <patternFill patternType="solid">
          <fgColor rgb="00FFEB9C"/>
          <bgColor rgb="00FFEB9C"/>
        </patternFill>
      </fill>
    </dxf>
    <dxf>
      <font>
        <color rgb="001A7A3D"/>
      </font>
      <fill>
        <patternFill patternType="solid">
          <fgColor rgb="00C6EFCE"/>
          <bgColor rgb="00C6EFCE"/>
        </patternFill>
      </fill>
    </dxf>
    <dxf>
      <font>
        <b val="1"/>
        <color rgb="001A7A3D"/>
      </font>
      <fill>
        <patternFill patternType="solid">
          <fgColor rgb="00C6EFCE"/>
          <bgColor rgb="00C6EF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FF6B6B"/>
          <bgColor rgb="00FF6B6B"/>
        </patternFill>
      </fill>
    </dxf>
    <dxf>
      <font>
        <b val="1"/>
      </font>
      <fill>
        <patternFill patternType="solid">
          <fgColor rgb="00C6EFCE"/>
          <bgColor rgb="00C6EFCE"/>
        </patternFill>
      </fill>
    </dxf>
    <dxf>
      <font>
        <b val="1"/>
      </font>
      <fill>
        <patternFill patternType="solid">
          <fgColor rgb="00FFEB9C"/>
          <bgColor rgb="00FFEB9C"/>
        </patternFill>
      </fill>
    </dxf>
    <dxf>
      <font>
        <b val="1"/>
      </font>
      <fill>
        <patternFill patternType="solid">
          <fgColor rgb="00FFC000"/>
          <bgColor rgb="00FFC000"/>
        </patternFill>
      </fill>
    </dxf>
    <dxf>
      <font>
        <b val="1"/>
      </font>
      <fill>
        <patternFill patternType="solid">
          <fgColor rgb="00FF6B6B"/>
          <bgColor rgb="00FF6B6B"/>
        </patternFill>
      </fill>
    </dxf>
    <dxf>
      <font>
        <b val="1"/>
        <color rgb="0033475B"/>
      </font>
      <fill>
        <patternFill patternType="solid">
          <fgColor rgb="00FFC000"/>
          <bgColor rgb="00FFC000"/>
        </patternFill>
      </fill>
    </dxf>
    <dxf>
      <font>
        <b val="1"/>
        <color rgb="0033475B"/>
      </font>
      <fill>
        <patternFill patternType="solid">
          <fgColor rgb="00FF6B6B"/>
          <bgColor rgb="00FF6B6B"/>
        </patternFill>
      </fill>
    </dxf>
    <dxf>
      <font>
        <b val="1"/>
        <color rgb="001F4E79"/>
      </font>
      <fill>
        <patternFill patternType="solid">
          <fgColor rgb="00DDEBF7"/>
          <b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Incident Trend (multi-year, monthly)</a:t>
            </a:r>
          </a:p>
        </rich>
      </tx>
    </title>
    <plotArea>
      <lineChart>
        <grouping val="standard"/>
        <ser>
          <idx val="0"/>
          <order val="0"/>
          <tx>
            <strRef>
              <f>'Calc'!D5</f>
            </strRef>
          </tx>
          <spPr>
            <a:ln w="28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'Calc'!$A$6:$A$29</f>
            </numRef>
          </cat>
          <val>
            <numRef>
              <f>'Calc'!$D$6:$D$29</f>
            </numRef>
          </val>
          <smooth val="0"/>
        </ser>
        <ser>
          <idx val="1"/>
          <order val="1"/>
          <tx>
            <strRef>
              <f>'Calc'!E5</f>
            </strRef>
          </tx>
          <spPr>
            <a:ln w="28000">
              <a:solidFill>
                <a:srgbClr val="C9A22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'Calc'!$A$6:$A$29</f>
            </numRef>
          </cat>
          <val>
            <numRef>
              <f>'Calc'!$E$6:$E$29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Incidents by Type</a:t>
            </a:r>
          </a:p>
        </rich>
      </tx>
    </title>
    <plotArea>
      <doughnutChart>
        <varyColors val="1"/>
        <ser>
          <idx val="0"/>
          <order val="0"/>
          <tx>
            <strRef>
              <f>'Calc'!O5</f>
            </strRef>
          </tx>
          <spPr>
            <a:ln>
              <a:prstDash val="solid"/>
            </a:ln>
          </spPr>
          <cat>
            <numRef>
              <f>'Calc'!$N$6:$N$12</f>
            </numRef>
          </cat>
          <val>
            <numRef>
              <f>'Calc'!$O$6:$O$12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Incidents by Location (high-risk ranking)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'Calc'!R5</f>
            </strRef>
          </tx>
          <spPr>
            <a:solidFill>
              <a:srgbClr val="C9A227"/>
            </a:solidFill>
            <a:ln>
              <a:prstDash val="solid"/>
            </a:ln>
          </spPr>
          <cat>
            <numRef>
              <f>'Calc'!$Q$6:$Q$23</f>
            </numRef>
          </cat>
          <val>
            <numRef>
              <f>'Calc'!$R$6:$R$23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Inspection Score Trend</a:t>
            </a:r>
          </a:p>
        </rich>
      </tx>
    </title>
    <plotArea>
      <lineChart>
        <grouping val="standard"/>
        <ser>
          <idx val="0"/>
          <order val="0"/>
          <tx>
            <strRef>
              <f>'Calc'!G5</f>
            </strRef>
          </tx>
          <spPr>
            <a:ln w="28000">
              <a:solidFill>
                <a:srgbClr val="2E8B5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'Calc'!$A$6:$A$29</f>
            </numRef>
          </cat>
          <val>
            <numRef>
              <f>'Calc'!$G$6:$G$29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Leading vs Lagging Indicators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'Calc'!F5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'Calc'!$A$6:$A$29</f>
            </numRef>
          </cat>
          <val>
            <numRef>
              <f>'Calc'!$F$6:$F$29</f>
            </numRef>
          </val>
        </ser>
        <gapWidth val="80"/>
        <axId val="10"/>
        <axId val="100"/>
      </barChart>
      <lineChart>
        <grouping val="standard"/>
        <ser>
          <idx val="1"/>
          <order val="1"/>
          <tx>
            <strRef>
              <f>'Calc'!E5</f>
            </strRef>
          </tx>
          <spPr>
            <a:ln w="30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'Calc'!$A$6:$A$29</f>
            </numRef>
          </cat>
          <val>
            <numRef>
              <f>'Calc'!$E$6:$E$29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near misses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recordables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Corrective Actions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'Calc'!U5</f>
            </strRef>
          </tx>
          <spPr>
            <a:solidFill>
              <a:srgbClr val="1B3A5B"/>
            </a:solidFill>
            <a:ln>
              <a:prstDash val="solid"/>
            </a:ln>
          </spPr>
          <cat>
            <numRef>
              <f>'Calc'!$T$6:$T$9</f>
            </numRef>
          </cat>
          <val>
            <numRef>
              <f>'Calc'!$U$6:$U$9</f>
            </numRef>
          </val>
        </ser>
        <dLbls>
          <showVal val="1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Near-Miss vs Recordable Trend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'Calc'!F5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'Calc'!$A$6:$A$29</f>
            </numRef>
          </cat>
          <val>
            <numRef>
              <f>'Calc'!$F$6:$F$29</f>
            </numRef>
          </val>
        </ser>
        <gapWidth val="80"/>
        <axId val="10"/>
        <axId val="100"/>
      </barChart>
      <lineChart>
        <grouping val="standard"/>
        <ser>
          <idx val="1"/>
          <order val="1"/>
          <tx>
            <strRef>
              <f>'Calc'!E5</f>
            </strRef>
          </tx>
          <spPr>
            <a:ln w="30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'Calc'!$A$6:$A$29</f>
            </numRef>
          </cat>
          <val>
            <numRef>
              <f>'Calc'!$E$6:$E$29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near misses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recordables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Near Misses by Area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'Near_Miss'!C30</f>
            </strRef>
          </tx>
          <spPr>
            <a:solidFill>
              <a:srgbClr val="C9A227"/>
            </a:solidFill>
            <a:ln>
              <a:prstDash val="solid"/>
            </a:ln>
          </spPr>
          <cat>
            <numRef>
              <f>'Near_Miss'!$B$31:$B$48</f>
            </numRef>
          </cat>
          <val>
            <numRef>
              <f>'Near_Miss'!$C$31:$C$48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Inspection Completion % (bars) vs Score % (line)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'Calc'!X5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'Calc'!$A$6:$A$29</f>
            </numRef>
          </cat>
          <val>
            <numRef>
              <f>'Calc'!$X$6:$X$29</f>
            </numRef>
          </val>
        </ser>
        <gapWidth val="80"/>
        <axId val="10"/>
        <axId val="100"/>
      </barChart>
      <lineChart>
        <grouping val="standard"/>
        <ser>
          <idx val="1"/>
          <order val="1"/>
          <tx>
            <strRef>
              <f>'Calc'!G5</f>
            </strRef>
          </tx>
          <spPr>
            <a:ln w="30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'Calc'!$A$6:$A$29</f>
            </numRef>
          </cat>
          <val>
            <numRef>
              <f>'Calc'!$G$6:$G$29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completion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Inspections Completed (count)</a:t>
            </a:r>
          </a:p>
        </rich>
      </tx>
    </title>
    <plotArea>
      <lineChart>
        <grouping val="standard"/>
        <ser>
          <idx val="0"/>
          <order val="0"/>
          <tx>
            <strRef>
              <f>'Calc'!J5</f>
            </strRef>
          </tx>
          <spPr>
            <a:ln w="28000">
              <a:solidFill>
                <a:srgbClr val="C9A22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'Calc'!$A$6:$A$29</f>
            </numRef>
          </cat>
          <val>
            <numRef>
              <f>'Calc'!$J$6:$J$29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Training Completion by Department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'Training'!C13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'Training'!$B$14:$B$21</f>
            </numRef>
          </cat>
          <val>
            <numRef>
              <f>'Training'!$C$14:$C$21</f>
            </numRef>
          </val>
        </ser>
        <gapWidth val="80"/>
        <axId val="10"/>
        <axId val="100"/>
      </barChart>
      <lineChart>
        <grouping val="standard"/>
        <ser>
          <idx val="1"/>
          <order val="1"/>
          <tx>
            <strRef>
              <f>'Training'!D13</f>
            </strRef>
          </tx>
          <spPr>
            <a:ln w="30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'Training'!$B$14:$B$21</f>
            </numRef>
          </cat>
          <val>
            <numRef>
              <f>'Training'!$D$14:$D$21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completion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target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Actions by Status</a:t>
            </a:r>
          </a:p>
        </rich>
      </tx>
    </title>
    <plotArea>
      <doughnutChart>
        <varyColors val="1"/>
        <ser>
          <idx val="0"/>
          <order val="0"/>
          <tx>
            <strRef>
              <f>'Calc'!U5</f>
            </strRef>
          </tx>
          <spPr>
            <a:ln>
              <a:prstDash val="solid"/>
            </a:ln>
          </spPr>
          <cat>
            <numRef>
              <f>'Calc'!$T$6:$T$9</f>
            </numRef>
          </cat>
          <val>
            <numRef>
              <f>'Calc'!$U$6:$U$9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Compliance Status</a:t>
            </a:r>
          </a:p>
        </rich>
      </tx>
    </title>
    <plotArea>
      <doughnutChart>
        <varyColors val="1"/>
        <ser>
          <idx val="0"/>
          <order val="0"/>
          <tx>
            <strRef>
              <f>'Compliance'!N5</f>
            </strRef>
          </tx>
          <spPr>
            <a:ln>
              <a:prstDash val="solid"/>
            </a:ln>
          </spPr>
          <cat>
            <numRef>
              <f>'Compliance'!$M$6:$M$8</f>
            </numRef>
          </cat>
          <val>
            <numRef>
              <f>'Compliance'!$N$6:$N$8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PM10 Dust vs EPA Limit</a:t>
            </a:r>
          </a:p>
        </rich>
      </tx>
    </title>
    <plotArea>
      <lineChart>
        <grouping val="standard"/>
        <ser>
          <idx val="0"/>
          <order val="0"/>
          <tx>
            <strRef>
              <f>'Environmental'!J7</f>
            </strRef>
          </tx>
          <spPr>
            <a:ln w="28000">
              <a:solidFill>
                <a:srgbClr val="C9A22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'Environmental'!$B$8:$B$31</f>
            </numRef>
          </cat>
          <val>
            <numRef>
              <f>'Environmental'!$J$8:$J$31</f>
            </numRef>
          </val>
          <smooth val="0"/>
        </ser>
        <ser>
          <idx val="1"/>
          <order val="1"/>
          <tx>
            <strRef>
              <f>'Environmental'!M7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'Environmental'!$B$8:$B$31</f>
            </numRef>
          </cat>
          <val>
            <numRef>
              <f>'Environmental'!$M$8:$M$31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ug/m3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WAD Cyanide vs ICMC Limit</a:t>
            </a:r>
          </a:p>
        </rich>
      </tx>
    </title>
    <plotArea>
      <lineChart>
        <grouping val="standard"/>
        <ser>
          <idx val="0"/>
          <order val="0"/>
          <tx>
            <strRef>
              <f>'Environmental'!L7</f>
            </strRef>
          </tx>
          <spPr>
            <a:ln w="28000">
              <a:solidFill>
                <a:srgbClr val="2E8B5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'Environmental'!$B$8:$B$31</f>
            </numRef>
          </cat>
          <val>
            <numRef>
              <f>'Environmental'!$L$8:$L$31</f>
            </numRef>
          </val>
          <smooth val="0"/>
        </ser>
        <ser>
          <idx val="1"/>
          <order val="1"/>
          <tx>
            <strRef>
              <f>'Environmental'!N7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'Environmental'!$B$8:$B$31</f>
            </numRef>
          </cat>
          <val>
            <numRef>
              <f>'Environmental'!$N$8:$N$31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mg/L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Energy Consumption (MWh)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'Environmental'!G7</f>
            </strRef>
          </tx>
          <spPr>
            <a:solidFill>
              <a:srgbClr val="1B3A5B"/>
            </a:solidFill>
            <a:ln>
              <a:prstDash val="solid"/>
            </a:ln>
          </spPr>
          <cat>
            <numRef>
              <f>'Environmental'!$B$8:$B$31</f>
            </numRef>
          </cat>
          <val>
            <numRef>
              <f>'Environmental'!$G$8:$G$31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Water Consumption (m3)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'Environmental'!H7</f>
            </strRef>
          </tx>
          <spPr>
            <a:solidFill>
              <a:srgbClr val="4BACC6"/>
            </a:solidFill>
            <a:ln>
              <a:prstDash val="solid"/>
            </a:ln>
          </spPr>
          <cat>
            <numRef>
              <f>'Environmental'!$B$8:$B$31</f>
            </numRef>
          </cat>
          <val>
            <numRef>
              <f>'Environmental'!$H$8:$H$31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TRIFR by Company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'Contractors'!G6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'Contractors'!$B$7:$B$13</f>
            </numRef>
          </cat>
          <val>
            <numRef>
              <f>'Contractors'!$G$7:$G$13</f>
            </numRef>
          </val>
        </ser>
        <gapWidth val="80"/>
        <axId val="10"/>
        <axId val="100"/>
      </barChart>
      <lineChart>
        <grouping val="standard"/>
        <ser>
          <idx val="1"/>
          <order val="1"/>
          <tx>
            <strRef>
              <f>'Contractors'!I6</f>
            </strRef>
          </tx>
          <spPr>
            <a:ln w="30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'Contractors'!$B$7:$B$13</f>
            </numRef>
          </cat>
          <val>
            <numRef>
              <f>'Contractors'!$I$7:$I$13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TRIFR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target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4.xml" Id="rId1" /><Relationship Type="http://schemas.openxmlformats.org/officeDocument/2006/relationships/chart" Target="/xl/charts/chart15.xml" Id="rId2" /><Relationship Type="http://schemas.openxmlformats.org/officeDocument/2006/relationships/chart" Target="/xl/charts/chart16.xml" Id="rId3" /><Relationship Type="http://schemas.openxmlformats.org/officeDocument/2006/relationships/chart" Target="/xl/charts/chart17.xml" Id="rId4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24</row>
      <rowOff>0</rowOff>
    </from>
    <ext cx="558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24</row>
      <rowOff>0</rowOff>
    </from>
    <ext cx="3096000" cy="266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40</row>
      <rowOff>0</rowOff>
    </from>
    <ext cx="5580000" cy="266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40</row>
      <rowOff>0</rowOff>
    </from>
    <ext cx="5580000" cy="2664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56</row>
      <rowOff>0</rowOff>
    </from>
    <ext cx="5580000" cy="2664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56</row>
      <rowOff>0</rowOff>
    </from>
    <ext cx="5580000" cy="2664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12</row>
      <rowOff>0</rowOff>
    </from>
    <ext cx="558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12</row>
      <rowOff>0</rowOff>
    </from>
    <ext cx="5580000" cy="266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12</row>
      <rowOff>0</rowOff>
    </from>
    <ext cx="558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12</row>
      <rowOff>0</rowOff>
    </from>
    <ext cx="5580000" cy="266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12</row>
      <rowOff>0</rowOff>
    </from>
    <ext cx="558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4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32</row>
      <rowOff>0</rowOff>
    </from>
    <ext cx="558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32</row>
      <rowOff>0</rowOff>
    </from>
    <ext cx="5580000" cy="266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48</row>
      <rowOff>0</rowOff>
    </from>
    <ext cx="5580000" cy="266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48</row>
      <rowOff>0</rowOff>
    </from>
    <ext cx="5580000" cy="2664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558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Incidents" displayName="tblIncidents" ref="A5:T172" headerRowCount="1">
  <autoFilter ref="A5:T172"/>
  <tableColumns count="20">
    <tableColumn id="1" name="ID"/>
    <tableColumn id="2" name="Date"/>
    <tableColumn id="3" name="Year"/>
    <tableColumn id="4" name="MonthName"/>
    <tableColumn id="5" name="Month"/>
    <tableColumn id="6" name="Area"/>
    <tableColumn id="7" name="Department"/>
    <tableColumn id="8" name="Company"/>
    <tableColumn id="9" name="Type"/>
    <tableColumn id="10" name="Class"/>
    <tableColumn id="11" name="Severity"/>
    <tableColumn id="12" name="Status"/>
    <tableColumn id="13" name="Reported"/>
    <tableColumn id="14" name="CAR_Due"/>
    <tableColumn id="15" name="Owner"/>
    <tableColumn id="16" name="Recordable"/>
    <tableColumn id="17" name="LTI"/>
    <tableColumn id="18" name="LTI_Date"/>
    <tableColumn id="19" name="CAR_Overdue"/>
    <tableColumn id="20" name="Days_Overd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ctivity" displayName="tblActivity" ref="A5:V437" headerRowCount="1">
  <autoFilter ref="A5:V437"/>
  <tableColumns count="22">
    <tableColumn id="1" name="Period"/>
    <tableColumn id="2" name="Year"/>
    <tableColumn id="3" name="MonthName"/>
    <tableColumn id="4" name="Month"/>
    <tableColumn id="5" name="Area"/>
    <tableColumn id="6" name="Department"/>
    <tableColumn id="7" name="Company"/>
    <tableColumn id="8" name="ManHours"/>
    <tableColumn id="9" name="NearMisses"/>
    <tableColumn id="10" name="Hazards"/>
    <tableColumn id="11" name="ObsRaised"/>
    <tableColumn id="12" name="ObsClosed"/>
    <tableColumn id="13" name="InspPlanned"/>
    <tableColumn id="14" name="InspDone"/>
    <tableColumn id="15" name="InspScore"/>
    <tableColumn id="16" name="Audits"/>
    <tableColumn id="17" name="Toolbox"/>
    <tableColumn id="18" name="TrainAssigned"/>
    <tableColumn id="19" name="TrainCompleted"/>
    <tableColumn id="20" name="PPE"/>
    <tableColumn id="21" name="InspCompletion"/>
    <tableColumn id="22" name="ObsCloseRa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Risks" displayName="tblRisks" ref="B16:L30" headerRowCount="1">
  <autoFilter ref="B16:L30"/>
  <tableColumns count="11">
    <tableColumn id="2" name="Risk_ID"/>
    <tableColumn id="3" name="Description"/>
    <tableColumn id="4" name="Area"/>
    <tableColumn id="5" name="Category"/>
    <tableColumn id="6" name="Likelihood"/>
    <tableColumn id="7" name="Consequence"/>
    <tableColumn id="8" name="Score"/>
    <tableColumn id="9" name="Risk_Level"/>
    <tableColumn id="10" name="Control_Adequacy"/>
    <tableColumn id="11" name="Owner"/>
    <tableColumn id="12" name="Review_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Actions" displayName="tblActions" ref="B12:M95" headerRowCount="1">
  <autoFilter ref="B12:M95"/>
  <tableColumns count="12">
    <tableColumn id="2" name="Action_ID"/>
    <tableColumn id="3" name="Source_Incident"/>
    <tableColumn id="4" name="Description"/>
    <tableColumn id="5" name="Raised"/>
    <tableColumn id="6" name="Due"/>
    <tableColumn id="7" name="Owner"/>
    <tableColumn id="8" name="Department"/>
    <tableColumn id="9" name="Area"/>
    <tableColumn id="10" name="Priority"/>
    <tableColumn id="11" name="Status"/>
    <tableColumn id="12" name="Overdue"/>
    <tableColumn id="13" name="Days_Overd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ompliance" displayName="tblCompliance" ref="B12:J25" headerRowCount="1">
  <autoFilter ref="B12:J25"/>
  <tableColumns count="9">
    <tableColumn id="2" name="Item"/>
    <tableColumn id="3" name="Regulator"/>
    <tableColumn id="4" name="Reference"/>
    <tableColumn id="5" name="Frequency_Months"/>
    <tableColumn id="6" name="Last_Completed"/>
    <tableColumn id="7" name="Owner"/>
    <tableColumn id="8" name="Due_Date"/>
    <tableColumn id="9" name="Status"/>
    <tableColumn id="10" name="Days_To_D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Env" displayName="tblEnv" ref="B7:S31" headerRowCount="1">
  <autoFilter ref="B7:S31"/>
  <tableColumns count="18">
    <tableColumn id="2" name="Period"/>
    <tableColumn id="3" name="Year"/>
    <tableColumn id="4" name="MonthName"/>
    <tableColumn id="5" name="Waste_t"/>
    <tableColumn id="6" name="Recycling"/>
    <tableColumn id="7" name="Energy_MWh"/>
    <tableColumn id="8" name="Water_m3"/>
    <tableColumn id="9" name="Fuel_L"/>
    <tableColumn id="10" name="PM10"/>
    <tableColumn id="11" name="pH"/>
    <tableColumn id="12" name="WAD_CN"/>
    <tableColumn id="13" name="PM10_Limit"/>
    <tableColumn id="14" name="CN_Limit"/>
    <tableColumn id="15" name="PM10_OK"/>
    <tableColumn id="16" name="pH_OK"/>
    <tableColumn id="17" name="CN_OK"/>
    <tableColumn id="18" name="Energy_Trend"/>
    <tableColumn id="19" name="Water_Trend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tblContractors" displayName="tblContractors" ref="B6:I13" headerRowCount="1">
  <autoFilter ref="B6:I13"/>
  <tableColumns count="8">
    <tableColumn id="2" name="Company"/>
    <tableColumn id="3" name="Scope"/>
    <tableColumn id="4" name="ManHours"/>
    <tableColumn id="5" name="Recordables"/>
    <tableColumn id="6" name="LTIs"/>
    <tableColumn id="7" name="TRIFR"/>
    <tableColumn id="8" name="LTIFR"/>
    <tableColumn id="9" name="Targe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Permits" displayName="tblPermits" ref="B6:H14" headerRowCount="1">
  <autoFilter ref="B6:H14"/>
  <tableColumns count="7">
    <tableColumn id="2" name="Permit"/>
    <tableColumn id="3" name="Authority"/>
    <tableColumn id="4" name="Holder"/>
    <tableColumn id="5" name="Issue_Date"/>
    <tableColumn id="6" name="Expiry_Date"/>
    <tableColumn id="7" name="Days_To_Expiry"/>
    <tableColumn id="8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Audits" displayName="tblAudits" ref="B6:I14" headerRowCount="1">
  <autoFilter ref="B6:I14"/>
  <tableColumns count="8">
    <tableColumn id="2" name="Audit"/>
    <tableColumn id="3" name="Type"/>
    <tableColumn id="4" name="Date"/>
    <tableColumn id="5" name="Auditor"/>
    <tableColumn id="6" name="Score"/>
    <tableColumn id="7" name="Findings"/>
    <tableColumn id="8" name="Closed_Findings"/>
    <tableColumn id="9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Drills" displayName="tblDrills" ref="B6:I15" headerRowCount="1">
  <autoFilter ref="B6:I15"/>
  <tableColumns count="8">
    <tableColumn id="2" name="Scenario"/>
    <tableColumn id="3" name="Date"/>
    <tableColumn id="4" name="Location"/>
    <tableColumn id="5" name="Participants"/>
    <tableColumn id="6" name="Duration_min"/>
    <tableColumn id="7" name="Effectiveness"/>
    <tableColumn id="8" name="Next_Due"/>
    <tableColumn id="9" name="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PPE" displayName="tblPPE" ref="B6:H16" headerRowCount="1">
  <autoFilter ref="B6:H16"/>
  <tableColumns count="7">
    <tableColumn id="2" name="Category"/>
    <tableColumn id="3" name="Department"/>
    <tableColumn id="4" name="Issued"/>
    <tableColumn id="5" name="Required"/>
    <tableColumn id="6" name="Compliance"/>
    <tableColumn id="7" name="Last_Inspection"/>
    <tableColumn id="8" name="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Equipment" displayName="tblEquipment" ref="B6:I18" headerRowCount="1">
  <autoFilter ref="B6:I18"/>
  <tableColumns count="8">
    <tableColumn id="2" name="Asset_ID"/>
    <tableColumn id="3" name="Asset"/>
    <tableColumn id="4" name="Type"/>
    <tableColumn id="5" name="Location"/>
    <tableColumn id="6" name="Last_Inspection"/>
    <tableColumn id="7" name="Next_Inspection"/>
    <tableColumn id="8" name="Days_To_Due"/>
    <tableColumn id="9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4.xml" Id="rId2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table" Target="/xl/tables/table5.xml" Id="rId2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 /><Relationship Type="http://schemas.openxmlformats.org/officeDocument/2006/relationships/table" Target="/xl/tables/table6.xml" Id="rId2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8.xml" Id="rId1" /><Relationship Type="http://schemas.openxmlformats.org/officeDocument/2006/relationships/table" Target="/xl/tables/table7.xml" Id="rId2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1" ht="16" customHeight="1">
      <c r="A1" s="1" t="inlineStr">
        <is>
          <t>ASANKO GOLD MINE   |   ReadMe -- Architecture &amp; How To Use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8" customHeight="1">
      <c r="A3" s="3" t="inlineStr">
        <is>
          <t>Health, Safety &amp; Environment Management System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B5" s="5" t="inlineStr">
        <is>
          <t>HOW THIS WORKBOOK WORKS</t>
        </is>
      </c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B6" s="7" t="inlineStr">
        <is>
          <t>This is a LIVE workbook, not a static report. There is one auditable data spine:</t>
        </is>
      </c>
    </row>
    <row r="7">
      <c r="B7" s="7" t="inlineStr">
        <is>
          <t xml:space="preserve">   - Incident_Register  (one row per event)</t>
        </is>
      </c>
    </row>
    <row r="8">
      <c r="B8" s="7" t="inlineStr">
        <is>
          <t xml:space="preserve">   - Activity_Log       (per area, per month: man-hours &amp; leading indicators)</t>
        </is>
      </c>
    </row>
    <row r="9">
      <c r="B9" s="7" t="inlineStr">
        <is>
          <t xml:space="preserve">   - Settings           (rate bases, targets &amp; thresholds -- named cells)</t>
        </is>
      </c>
    </row>
    <row r="10">
      <c r="B10" s="7" t="inlineStr"/>
    </row>
    <row r="11">
      <c r="B11" s="7" t="inlineStr">
        <is>
          <t>EVERY KPI, status light and chart on every other sheet is a native Excel FORMULA</t>
        </is>
      </c>
    </row>
    <row r="12">
      <c r="B12" s="7" t="inlineStr">
        <is>
          <t>(SUMPRODUCT / COUNTIF / AVERAGEIFS / TODAY / EDATE) that points back at the spine.</t>
        </is>
      </c>
    </row>
    <row r="13">
      <c r="B13" s="7" t="inlineStr">
        <is>
          <t>When you add a new row to a data sheet, the Excel Tables auto-expand and every number,</t>
        </is>
      </c>
    </row>
    <row r="14">
      <c r="B14" s="7" t="inlineStr">
        <is>
          <t>traffic-light and chart recalculates automatically -- no redesign, no re-running code.</t>
        </is>
      </c>
    </row>
    <row r="16">
      <c r="B16" s="5" t="inlineStr">
        <is>
          <t>YOU ONLY EVER EDIT TWO SHEETS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B17" s="7" t="inlineStr">
        <is>
          <t xml:space="preserve">   1. Incident_Register  -- append incidents (dropdowns guide Type/Class/Status/Area...)</t>
        </is>
      </c>
    </row>
    <row r="18">
      <c r="B18" s="7" t="inlineStr">
        <is>
          <t xml:space="preserve">   2. Activity_Log       -- append monthly activity per area</t>
        </is>
      </c>
    </row>
    <row r="19">
      <c r="B19" s="7" t="inlineStr">
        <is>
          <t>Optionally tune Settings (targets / limits) and extend dropdowns on the Lists sheet.</t>
        </is>
      </c>
    </row>
    <row r="20">
      <c r="B20" s="7" t="inlineStr">
        <is>
          <t>Columns shaded as calculated (Year, Recordable, LTI, CAR_Overdue, Status, Due_Date...)</t>
        </is>
      </c>
    </row>
    <row r="21">
      <c r="B21" s="7" t="inlineStr">
        <is>
          <t>are formulas -- do not overtype them; Excel copies them down to new rows for you.</t>
        </is>
      </c>
    </row>
    <row r="23">
      <c r="B23" s="5" t="inlineStr">
        <is>
          <t>THE INTERACTIVE DASHBOARD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B24" s="7" t="inlineStr">
        <is>
          <t>The Dashboard has Year / Month / Department / Location dropdowns. Choosing a value</t>
        </is>
      </c>
    </row>
    <row r="25">
      <c r="B25" s="7" t="inlineStr">
        <is>
          <t>re-drives every headline KPI (SUMPRODUCT with full 'All' handling) and all six charts.</t>
        </is>
      </c>
    </row>
    <row r="26">
      <c r="B26" s="7" t="inlineStr">
        <is>
          <t>Set a filter back to 'All' to clear it.</t>
        </is>
      </c>
    </row>
    <row r="28">
      <c r="B28" s="5" t="inlineStr">
        <is>
          <t>KEY DEFINITIONS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B29" s="7" t="inlineStr">
        <is>
          <t>Recordable      = Medical Treatment + Restricted Work + Lost Time Injury</t>
        </is>
      </c>
    </row>
    <row r="30">
      <c r="B30" s="7" t="inlineStr">
        <is>
          <t>TRIFR           = Recordables / man-hours x RATE_BASE (default 1,000,000)</t>
        </is>
      </c>
    </row>
    <row r="31">
      <c r="B31" s="7" t="inlineStr">
        <is>
          <t>LTIFR           = Lost Time Injuries / man-hours x RATE_BASE</t>
        </is>
      </c>
    </row>
    <row r="32">
      <c r="B32" s="7" t="inlineStr">
        <is>
          <t>(Fatalities are modelled as severity-5 Lost Time Injuries, so they count in both.)</t>
        </is>
      </c>
    </row>
    <row r="33">
      <c r="B33" s="7" t="inlineStr">
        <is>
          <t>Near-miss ratio = near misses / recordables (a leading-indicator health check)</t>
        </is>
      </c>
    </row>
    <row r="34">
      <c r="B34" s="7" t="inlineStr">
        <is>
          <t>Overdue action  = Status &lt;&gt; Closed AND Due date &lt; TODAY()</t>
        </is>
      </c>
    </row>
    <row r="36">
      <c r="B36" s="5" t="inlineStr">
        <is>
          <t>SHEETS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B37" s="7" t="inlineStr">
        <is>
          <t>Dashboard, Incident_Register, Activity_Log, Settings, Lists, Calc (chart engine),</t>
        </is>
      </c>
    </row>
    <row r="38">
      <c r="B38" s="7" t="inlineStr">
        <is>
          <t>Near_Miss, Risk_Matrix, Inspections, Training, Corrective_Actions, Compliance,</t>
        </is>
      </c>
    </row>
    <row r="39">
      <c r="B39" s="7" t="inlineStr">
        <is>
          <t>Environmental, Contractors, Permits, Audits, Drills, PPE, Equipment.</t>
        </is>
      </c>
    </row>
    <row r="40">
      <c r="B40" s="7" t="inlineStr">
        <is>
          <t>(Incident_Register doubles as the 'Incidents' register module: it is an Excel Table</t>
        </is>
      </c>
    </row>
    <row r="41">
      <c r="B41" s="7" t="inlineStr">
        <is>
          <t xml:space="preserve"> with autofilter and conditional formatting on severity and overdue CARs.)</t>
        </is>
      </c>
    </row>
    <row r="43">
      <c r="B43" s="5" t="inlineStr">
        <is>
          <t>NOTE ON RECALCULATION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B44" s="7" t="inlineStr">
        <is>
          <t>openpyxl writes formulas but does not compute them. The first time you OPEN the file</t>
        </is>
      </c>
    </row>
    <row r="45">
      <c r="B45" s="7" t="inlineStr">
        <is>
          <t>in Excel, all formulas calculate (fullCalcOnLoad is set). If a cell shows 0 before</t>
        </is>
      </c>
    </row>
    <row r="46">
      <c r="B46" s="7" t="inlineStr">
        <is>
          <t>opening in Excel, that is expected -- Excel fills it in on open.</t>
        </is>
      </c>
    </row>
  </sheetData>
  <mergeCells count="8">
    <mergeCell ref="A1:J2"/>
    <mergeCell ref="B5:J5"/>
    <mergeCell ref="B28:J28"/>
    <mergeCell ref="B36:J36"/>
    <mergeCell ref="A3:J3"/>
    <mergeCell ref="B23:J23"/>
    <mergeCell ref="B43:J43"/>
    <mergeCell ref="B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</cols>
  <sheetData>
    <row r="1" ht="16" customHeight="1">
      <c r="A1" s="1" t="inlineStr">
        <is>
          <t>ASANKO GOLD MINE   |   HSE EXECUTIVE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3" t="inlineStr">
        <is>
          <t>Live scorecard -- select filters below; every card &amp; chart recalculates.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5">
      <c r="B5" s="5" t="inlineStr">
        <is>
          <t>INTERACTIVE FILTERS   (choose 'All' to clear)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>
      <c r="B6" s="8" t="inlineStr">
        <is>
          <t>YEAR</t>
        </is>
      </c>
      <c r="C6" s="9" t="inlineStr">
        <is>
          <t>All</t>
        </is>
      </c>
      <c r="D6" s="10" t="n"/>
      <c r="E6" s="8" t="inlineStr">
        <is>
          <t>MONTH</t>
        </is>
      </c>
      <c r="F6" s="9" t="inlineStr">
        <is>
          <t>All</t>
        </is>
      </c>
      <c r="G6" s="10" t="n"/>
      <c r="H6" s="8" t="inlineStr">
        <is>
          <t>DEPARTMENT</t>
        </is>
      </c>
      <c r="I6" s="9" t="inlineStr">
        <is>
          <t>All</t>
        </is>
      </c>
      <c r="J6" s="10" t="n"/>
      <c r="K6" s="8" t="inlineStr">
        <is>
          <t>LOCATION / AREA</t>
        </is>
      </c>
      <c r="L6" s="9" t="inlineStr">
        <is>
          <t>All</t>
        </is>
      </c>
      <c r="M6" s="10" t="n"/>
      <c r="N6" s="11" t="inlineStr">
        <is>
          <t>Report date:</t>
        </is>
      </c>
      <c r="O6" s="12">
        <f>TODAY()</f>
        <v/>
      </c>
    </row>
    <row r="8">
      <c r="B8" s="13" t="inlineStr">
        <is>
          <t>TOTAL INCIDENTS</t>
        </is>
      </c>
      <c r="C8" s="14" t="n"/>
      <c r="D8" s="15" t="n"/>
      <c r="F8" s="16" t="inlineStr">
        <is>
          <t>NEAR MISSES</t>
        </is>
      </c>
      <c r="G8" s="14" t="n"/>
      <c r="H8" s="15" t="n"/>
      <c r="J8" s="16" t="inlineStr">
        <is>
          <t>TRIFR</t>
        </is>
      </c>
      <c r="K8" s="14" t="n"/>
      <c r="L8" s="15" t="n"/>
      <c r="N8" s="16" t="inlineStr">
        <is>
          <t>LTIFR</t>
        </is>
      </c>
      <c r="O8" s="14" t="n"/>
      <c r="P8" s="15" t="n"/>
    </row>
    <row r="9">
      <c r="B9" s="17">
        <f>SUMPRODUCT(((F_Year="All")+(F_Year="")+(tblIncidents[Year]=F_Year))*((F_Month="All")+(F_Month="")+(tblIncidents[MonthName]=F_Month))*((F_Dept="All")+(F_Dept="")+(tblIncidents[Department]=F_Dept))*((F_Loc="All")+(F_Loc="")+(tblIncidents[Area]=F_Loc)))</f>
        <v/>
      </c>
      <c r="C9" s="18" t="n"/>
      <c r="D9" s="19" t="n"/>
      <c r="F9" s="20">
        <f>SUMPRODUCT(((F_Year="All")+(F_Year="")+(tblActivity[Year]=F_Year))*((F_Month="All")+(F_Month="")+(tblActivity[MonthName]=F_Month))*((F_Dept="All")+(F_Dept="")+(tblActivity[Department]=F_Dept))*((F_Loc="All")+(F_Loc="")+(tblActivity[Area]=F_Loc))*tblActivity[NearMisses])</f>
        <v/>
      </c>
      <c r="G9" s="18" t="n"/>
      <c r="H9" s="19" t="n"/>
      <c r="J9" s="21">
        <f>IF(SUMPRODUCT(((F_Year="All")+(F_Year="")+(tblActivity[Year]=F_Year))*((F_Month="All")+(F_Month="")+(tblActivity[MonthName]=F_Month))*((F_Dept="All")+(F_Dept="")+(tblActivity[Department]=F_Dept))*((F_Loc="All")+(F_Loc="")+(tblActivity[Area]=F_Loc))*tblActivity[ManHours])=0,0,SUMPRODUCT(((F_Year="All")+(F_Year="")+(tblIncidents[Year]=F_Year))*((F_Month="All")+(F_Month="")+(tblIncidents[MonthName]=F_Month))*((F_Dept="All")+(F_Dept="")+(tblIncidents[Department]=F_Dept))*((F_Loc="All")+(F_Loc="")+(tblIncidents[Area]=F_Loc))*tblIncidents[Recordable])/SUMPRODUCT(((F_Year="All")+(F_Year="")+(tblActivity[Year]=F_Year))*((F_Month="All")+(F_Month="")+(tblActivity[MonthName]=F_Month))*((F_Dept="All")+(F_Dept="")+(tblActivity[Department]=F_Dept))*((F_Loc="All")+(F_Loc="")+(tblActivity[Area]=F_Loc))*tblActivity[ManHours])*RATE_BASE)</f>
        <v/>
      </c>
      <c r="K9" s="18" t="n"/>
      <c r="L9" s="19" t="n"/>
      <c r="N9" s="21">
        <f>IF(SUMPRODUCT(((F_Year="All")+(F_Year="")+(tblActivity[Year]=F_Year))*((F_Month="All")+(F_Month="")+(tblActivity[MonthName]=F_Month))*((F_Dept="All")+(F_Dept="")+(tblActivity[Department]=F_Dept))*((F_Loc="All")+(F_Loc="")+(tblActivity[Area]=F_Loc))*tblActivity[ManHours])=0,0,SUMPRODUCT(((F_Year="All")+(F_Year="")+(tblIncidents[Year]=F_Year))*((F_Month="All")+(F_Month="")+(tblIncidents[MonthName]=F_Month))*((F_Dept="All")+(F_Dept="")+(tblIncidents[Department]=F_Dept))*((F_Loc="All")+(F_Loc="")+(tblIncidents[Area]=F_Loc))*tblIncidents[LTI])/SUMPRODUCT(((F_Year="All")+(F_Year="")+(tblActivity[Year]=F_Year))*((F_Month="All")+(F_Month="")+(tblActivity[MonthName]=F_Month))*((F_Dept="All")+(F_Dept="")+(tblActivity[Department]=F_Dept))*((F_Loc="All")+(F_Loc="")+(tblActivity[Area]=F_Loc))*tblActivity[ManHours])*RATE_BASE)</f>
        <v/>
      </c>
      <c r="O9" s="18" t="n"/>
      <c r="P9" s="19" t="n"/>
    </row>
    <row r="10">
      <c r="B10" s="22" t="n"/>
      <c r="C10" s="23" t="n"/>
      <c r="D10" s="24" t="n"/>
      <c r="F10" s="22" t="n"/>
      <c r="G10" s="23" t="n"/>
      <c r="H10" s="24" t="n"/>
      <c r="J10" s="22" t="n"/>
      <c r="K10" s="23" t="n"/>
      <c r="L10" s="24" t="n"/>
      <c r="N10" s="22" t="n"/>
      <c r="O10" s="23" t="n"/>
      <c r="P10" s="24" t="n"/>
    </row>
    <row r="11">
      <c r="B11" s="25">
        <f>"period total"</f>
        <v/>
      </c>
      <c r="C11" s="14" t="n"/>
      <c r="D11" s="15" t="n"/>
      <c r="F11" s="25">
        <f>IF(F9&gt;=TARGET_NEARMISS,"ON TARGET","BELOW TARGET")</f>
        <v/>
      </c>
      <c r="G11" s="14" t="n"/>
      <c r="H11" s="15" t="n"/>
      <c r="J11" s="25">
        <f>IF(J9&lt;=TARGET_TRIFR,"ON TARGET","ABOVE TARGET")</f>
        <v/>
      </c>
      <c r="K11" s="14" t="n"/>
      <c r="L11" s="15" t="n"/>
      <c r="N11" s="25">
        <f>IF(N9&lt;=TARGET_LTIFR,"ON TARGET","ABOVE TARGET")</f>
        <v/>
      </c>
      <c r="O11" s="14" t="n"/>
      <c r="P11" s="15" t="n"/>
    </row>
    <row r="13">
      <c r="B13" s="16" t="inlineStr">
        <is>
          <t>INSPECTION SCORE</t>
        </is>
      </c>
      <c r="C13" s="14" t="n"/>
      <c r="D13" s="15" t="n"/>
      <c r="F13" s="16" t="inlineStr">
        <is>
          <t>TRAINING COMPLETION</t>
        </is>
      </c>
      <c r="G13" s="14" t="n"/>
      <c r="H13" s="15" t="n"/>
      <c r="J13" s="16" t="inlineStr">
        <is>
          <t>ENV COMPLIANCE</t>
        </is>
      </c>
      <c r="K13" s="14" t="n"/>
      <c r="L13" s="15" t="n"/>
      <c r="N13" s="16" t="inlineStr">
        <is>
          <t>DAYS SINCE LAST LTI</t>
        </is>
      </c>
      <c r="O13" s="14" t="n"/>
      <c r="P13" s="15" t="n"/>
    </row>
    <row r="14">
      <c r="B14" s="26">
        <f>IFERROR(SUMPRODUCT(((F_Year="All")+(F_Year="")+(tblActivity[Year]=F_Year))*((F_Month="All")+(F_Month="")+(tblActivity[MonthName]=F_Month))*((F_Dept="All")+(F_Dept="")+(tblActivity[Department]=F_Dept))*((F_Loc="All")+(F_Loc="")+(tblActivity[Area]=F_Loc))*tblActivity[InspDone]*tblActivity[InspScore])/SUMPRODUCT(((F_Year="All")+(F_Year="")+(tblActivity[Year]=F_Year))*((F_Month="All")+(F_Month="")+(tblActivity[MonthName]=F_Month))*((F_Dept="All")+(F_Dept="")+(tblActivity[Department]=F_Dept))*((F_Loc="All")+(F_Loc="")+(tblActivity[Area]=F_Loc))*tblActivity[InspDone]),0)</f>
        <v/>
      </c>
      <c r="C14" s="18" t="n"/>
      <c r="D14" s="19" t="n"/>
      <c r="F14" s="26">
        <f>IFERROR(SUMPRODUCT(((F_Year="All")+(F_Year="")+(tblActivity[Year]=F_Year))*((F_Month="All")+(F_Month="")+(tblActivity[MonthName]=F_Month))*((F_Dept="All")+(F_Dept="")+(tblActivity[Department]=F_Dept))*((F_Loc="All")+(F_Loc="")+(tblActivity[Area]=F_Loc))*tblActivity[TrainCompleted])/SUMPRODUCT(((F_Year="All")+(F_Year="")+(tblActivity[Year]=F_Year))*((F_Month="All")+(F_Month="")+(tblActivity[MonthName]=F_Month))*((F_Dept="All")+(F_Dept="")+(tblActivity[Department]=F_Dept))*((F_Loc="All")+(F_Loc="")+(tblActivity[Area]=F_Loc))*tblActivity[TrainAssigned]),0)</f>
        <v/>
      </c>
      <c r="G14" s="18" t="n"/>
      <c r="H14" s="19" t="n"/>
      <c r="J14" s="26">
        <f>ENV_COMPLIANCE_PCT</f>
        <v/>
      </c>
      <c r="K14" s="18" t="n"/>
      <c r="L14" s="19" t="n"/>
      <c r="N14" s="20">
        <f>IF(MAX(tblIncidents[LTI_Date])=0,"N/A",TODAY()-MAX(tblIncidents[LTI_Date]))</f>
        <v/>
      </c>
      <c r="O14" s="18" t="n"/>
      <c r="P14" s="19" t="n"/>
    </row>
    <row r="15">
      <c r="B15" s="22" t="n"/>
      <c r="C15" s="23" t="n"/>
      <c r="D15" s="24" t="n"/>
      <c r="F15" s="22" t="n"/>
      <c r="G15" s="23" t="n"/>
      <c r="H15" s="24" t="n"/>
      <c r="J15" s="22" t="n"/>
      <c r="K15" s="23" t="n"/>
      <c r="L15" s="24" t="n"/>
      <c r="N15" s="22" t="n"/>
      <c r="O15" s="23" t="n"/>
      <c r="P15" s="24" t="n"/>
    </row>
    <row r="16">
      <c r="B16" s="25">
        <f>IF(B14&gt;=TARGET_INSPECTION,"ON TARGET","BELOW TARGET")</f>
        <v/>
      </c>
      <c r="C16" s="14" t="n"/>
      <c r="D16" s="15" t="n"/>
      <c r="F16" s="25">
        <f>IF(F14&gt;=TARGET_TRAINING,"ON TARGET","BELOW TARGET")</f>
        <v/>
      </c>
      <c r="G16" s="14" t="n"/>
      <c r="H16" s="15" t="n"/>
      <c r="J16" s="25">
        <f>IF(J14&gt;=TARGET_ENV,"ON TARGET","BELOW TARGET")</f>
        <v/>
      </c>
      <c r="K16" s="14" t="n"/>
      <c r="L16" s="15" t="n"/>
      <c r="N16" s="25">
        <f>"days incident-free"</f>
        <v/>
      </c>
      <c r="O16" s="14" t="n"/>
      <c r="P16" s="15" t="n"/>
    </row>
    <row r="18">
      <c r="B18" s="13" t="inlineStr">
        <is>
          <t>OPEN ACTIONS</t>
        </is>
      </c>
      <c r="C18" s="14" t="n"/>
      <c r="D18" s="15" t="n"/>
      <c r="F18" s="16" t="inlineStr">
        <is>
          <t>OVERDUE ACTIONS</t>
        </is>
      </c>
      <c r="G18" s="14" t="n"/>
      <c r="H18" s="15" t="n"/>
      <c r="J18" s="13" t="inlineStr">
        <is>
          <t>RECORDABLES</t>
        </is>
      </c>
      <c r="K18" s="14" t="n"/>
      <c r="L18" s="15" t="n"/>
      <c r="N18" s="13" t="inlineStr">
        <is>
          <t>MAN-HOURS (PERIOD)</t>
        </is>
      </c>
      <c r="O18" s="14" t="n"/>
      <c r="P18" s="15" t="n"/>
    </row>
    <row r="19">
      <c r="B19" s="17">
        <f>SUMPRODUCT(((F_Dept="All")+(F_Dept="")+(tblActions[Department]=F_Dept))*((F_Loc="All")+(F_Loc="")+(tblActions[Area]=F_Loc))*(tblActions[Status]&lt;&gt;"Closed"))</f>
        <v/>
      </c>
      <c r="C19" s="18" t="n"/>
      <c r="D19" s="19" t="n"/>
      <c r="F19" s="20">
        <f>SUMPRODUCT(((F_Dept="All")+(F_Dept="")+(tblActions[Department]=F_Dept))*((F_Loc="All")+(F_Loc="")+(tblActions[Area]=F_Loc))*tblActions[Overdue])</f>
        <v/>
      </c>
      <c r="G19" s="18" t="n"/>
      <c r="H19" s="19" t="n"/>
      <c r="J19" s="17">
        <f>SUMPRODUCT(((F_Year="All")+(F_Year="")+(tblIncidents[Year]=F_Year))*((F_Month="All")+(F_Month="")+(tblIncidents[MonthName]=F_Month))*((F_Dept="All")+(F_Dept="")+(tblIncidents[Department]=F_Dept))*((F_Loc="All")+(F_Loc="")+(tblIncidents[Area]=F_Loc))*tblIncidents[Recordable])</f>
        <v/>
      </c>
      <c r="K19" s="18" t="n"/>
      <c r="L19" s="19" t="n"/>
      <c r="N19" s="17">
        <f>SUMPRODUCT(((F_Year="All")+(F_Year="")+(tblActivity[Year]=F_Year))*((F_Month="All")+(F_Month="")+(tblActivity[MonthName]=F_Month))*((F_Dept="All")+(F_Dept="")+(tblActivity[Department]=F_Dept))*((F_Loc="All")+(F_Loc="")+(tblActivity[Area]=F_Loc))*tblActivity[ManHours])</f>
        <v/>
      </c>
      <c r="O19" s="18" t="n"/>
      <c r="P19" s="19" t="n"/>
    </row>
    <row r="20">
      <c r="B20" s="22" t="n"/>
      <c r="C20" s="23" t="n"/>
      <c r="D20" s="24" t="n"/>
      <c r="F20" s="22" t="n"/>
      <c r="G20" s="23" t="n"/>
      <c r="H20" s="24" t="n"/>
      <c r="J20" s="22" t="n"/>
      <c r="K20" s="23" t="n"/>
      <c r="L20" s="24" t="n"/>
      <c r="N20" s="22" t="n"/>
      <c r="O20" s="23" t="n"/>
      <c r="P20" s="24" t="n"/>
    </row>
    <row r="21">
      <c r="B21" s="25">
        <f>"awaiting close-out"</f>
        <v/>
      </c>
      <c r="C21" s="14" t="n"/>
      <c r="D21" s="15" t="n"/>
      <c r="F21" s="25">
        <f>IF(F19=0,"NONE OVERDUE","ACTION REQUIRED")</f>
        <v/>
      </c>
      <c r="G21" s="14" t="n"/>
      <c r="H21" s="15" t="n"/>
      <c r="J21" s="25">
        <f>"MTC+RWC+LTI"</f>
        <v/>
      </c>
      <c r="K21" s="14" t="n"/>
      <c r="L21" s="15" t="n"/>
      <c r="N21" s="25">
        <f>"exposure hours"</f>
        <v/>
      </c>
      <c r="O21" s="14" t="n"/>
      <c r="P21" s="15" t="n"/>
    </row>
    <row r="23">
      <c r="B23" s="5" t="inlineStr">
        <is>
          <t>TRENDS &amp; ANALYTICS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</sheetData>
  <mergeCells count="45">
    <mergeCell ref="B11:D11"/>
    <mergeCell ref="C6:D6"/>
    <mergeCell ref="I6:J6"/>
    <mergeCell ref="F18:H18"/>
    <mergeCell ref="F14:H15"/>
    <mergeCell ref="B8:D8"/>
    <mergeCell ref="N18:P18"/>
    <mergeCell ref="O6:P6"/>
    <mergeCell ref="J14:L15"/>
    <mergeCell ref="F19:H20"/>
    <mergeCell ref="F8:H8"/>
    <mergeCell ref="B13:D13"/>
    <mergeCell ref="F6:G6"/>
    <mergeCell ref="B23:P23"/>
    <mergeCell ref="N8:P8"/>
    <mergeCell ref="J11:L11"/>
    <mergeCell ref="J16:L16"/>
    <mergeCell ref="J19:L20"/>
    <mergeCell ref="F13:H13"/>
    <mergeCell ref="N13:P13"/>
    <mergeCell ref="J9:L10"/>
    <mergeCell ref="J21:L21"/>
    <mergeCell ref="A3:Q3"/>
    <mergeCell ref="B14:D15"/>
    <mergeCell ref="J18:L18"/>
    <mergeCell ref="B5:P5"/>
    <mergeCell ref="N14:P15"/>
    <mergeCell ref="J8:L8"/>
    <mergeCell ref="F11:H11"/>
    <mergeCell ref="B16:D16"/>
    <mergeCell ref="A1:Q2"/>
    <mergeCell ref="N11:P11"/>
    <mergeCell ref="F16:H16"/>
    <mergeCell ref="N16:P16"/>
    <mergeCell ref="B19:D20"/>
    <mergeCell ref="L6:M6"/>
    <mergeCell ref="N19:P20"/>
    <mergeCell ref="J13:L13"/>
    <mergeCell ref="B18:D18"/>
    <mergeCell ref="B9:D10"/>
    <mergeCell ref="B21:D21"/>
    <mergeCell ref="N9:P10"/>
    <mergeCell ref="F9:H10"/>
    <mergeCell ref="F21:H21"/>
    <mergeCell ref="N21:P21"/>
  </mergeCells>
  <conditionalFormatting sqref="F11">
    <cfRule type="expression" priority="1" dxfId="0" stopIfTrue="1">
      <formula>F9&gt;=TARGET_NEARMISS</formula>
    </cfRule>
    <cfRule type="expression" priority="2" dxfId="1" stopIfTrue="1">
      <formula>F9&gt;=TARGET_NEARMISS*0.9</formula>
    </cfRule>
    <cfRule type="expression" priority="3" dxfId="2" stopIfTrue="1">
      <formula>F9&lt;TARGET_NEARMISS*0.9</formula>
    </cfRule>
  </conditionalFormatting>
  <conditionalFormatting sqref="J11">
    <cfRule type="expression" priority="4" dxfId="0" stopIfTrue="1">
      <formula>J9&lt;=TARGET_TRIFR</formula>
    </cfRule>
    <cfRule type="expression" priority="5" dxfId="1" stopIfTrue="1">
      <formula>J9&lt;=TARGET_TRIFR*1.15</formula>
    </cfRule>
    <cfRule type="expression" priority="6" dxfId="2" stopIfTrue="1">
      <formula>J9&gt;TARGET_TRIFR*1.15</formula>
    </cfRule>
  </conditionalFormatting>
  <conditionalFormatting sqref="N11">
    <cfRule type="expression" priority="7" dxfId="0" stopIfTrue="1">
      <formula>N9&lt;=TARGET_LTIFR</formula>
    </cfRule>
    <cfRule type="expression" priority="8" dxfId="1" stopIfTrue="1">
      <formula>N9&lt;=TARGET_LTIFR*1.15</formula>
    </cfRule>
    <cfRule type="expression" priority="9" dxfId="2" stopIfTrue="1">
      <formula>N9&gt;TARGET_LTIFR*1.15</formula>
    </cfRule>
  </conditionalFormatting>
  <conditionalFormatting sqref="B16">
    <cfRule type="expression" priority="10" dxfId="0" stopIfTrue="1">
      <formula>B14&gt;=TARGET_INSPECTION</formula>
    </cfRule>
    <cfRule type="expression" priority="11" dxfId="1" stopIfTrue="1">
      <formula>B14&gt;=TARGET_INSPECTION*0.9</formula>
    </cfRule>
    <cfRule type="expression" priority="12" dxfId="2" stopIfTrue="1">
      <formula>B14&lt;TARGET_INSPECTION*0.9</formula>
    </cfRule>
  </conditionalFormatting>
  <conditionalFormatting sqref="F16">
    <cfRule type="expression" priority="13" dxfId="0" stopIfTrue="1">
      <formula>F14&gt;=TARGET_TRAINING</formula>
    </cfRule>
    <cfRule type="expression" priority="14" dxfId="1" stopIfTrue="1">
      <formula>F14&gt;=TARGET_TRAINING*0.9</formula>
    </cfRule>
    <cfRule type="expression" priority="15" dxfId="2" stopIfTrue="1">
      <formula>F14&lt;TARGET_TRAINING*0.9</formula>
    </cfRule>
  </conditionalFormatting>
  <conditionalFormatting sqref="J16">
    <cfRule type="expression" priority="16" dxfId="0" stopIfTrue="1">
      <formula>J14&gt;=TARGET_ENV</formula>
    </cfRule>
    <cfRule type="expression" priority="17" dxfId="1" stopIfTrue="1">
      <formula>J14&gt;=TARGET_ENV*0.9</formula>
    </cfRule>
    <cfRule type="expression" priority="18" dxfId="2" stopIfTrue="1">
      <formula>J14&lt;TARGET_ENV*0.9</formula>
    </cfRule>
  </conditionalFormatting>
  <conditionalFormatting sqref="N16">
    <cfRule type="expression" priority="19" dxfId="0" stopIfTrue="1">
      <formula>N14&gt;=THRESH_LTI_GOOD</formula>
    </cfRule>
    <cfRule type="expression" priority="20" dxfId="1" stopIfTrue="1">
      <formula>N14&gt;=THRESH_LTI_WARN</formula>
    </cfRule>
    <cfRule type="expression" priority="21" dxfId="2" stopIfTrue="1">
      <formula>N14&lt;THRESH_LTI_WARN</formula>
    </cfRule>
  </conditionalFormatting>
  <conditionalFormatting sqref="F21">
    <cfRule type="expression" priority="22" dxfId="0" stopIfTrue="1">
      <formula>F19=0</formula>
    </cfRule>
    <cfRule type="expression" priority="23" dxfId="2" stopIfTrue="1">
      <formula>F19&gt;0</formula>
    </cfRule>
  </conditionalFormatting>
  <dataValidations count="4">
    <dataValidation sqref="C6" showDropDown="0" showInputMessage="0" showErrorMessage="0" allowBlank="0" type="list">
      <formula1>Lists!$I$8:$I$11</formula1>
    </dataValidation>
    <dataValidation sqref="F6" showDropDown="0" showInputMessage="0" showErrorMessage="0" allowBlank="0" type="list">
      <formula1>Lists!$H$8:$H$20</formula1>
    </dataValidation>
    <dataValidation sqref="I6" showDropDown="0" showInputMessage="0" showErrorMessage="0" allowBlank="0" type="list">
      <formula1>Lists!$P$8:$P$16</formula1>
    </dataValidation>
    <dataValidation sqref="L6" showDropDown="0" showInputMessage="0" showErrorMessage="0" allowBlank="0" type="list">
      <formula1>Lists!$O$8:$O$26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0" customWidth="1" min="4" max="4"/>
    <col width="8" customWidth="1" min="5" max="5"/>
    <col width="22" customWidth="1" min="6" max="6"/>
    <col width="14" customWidth="1" min="7" max="7"/>
    <col width="22" customWidth="1" min="8" max="8"/>
    <col width="16" customWidth="1" min="9" max="9"/>
    <col width="20" customWidth="1" min="10" max="10"/>
    <col width="9" customWidth="1" min="11" max="11"/>
    <col width="18" customWidth="1" min="12" max="12"/>
    <col width="12" customWidth="1" min="13" max="13"/>
    <col width="12" customWidth="1" min="14" max="14"/>
    <col width="12" customWidth="1" min="15" max="15"/>
    <col width="11" customWidth="1" min="16" max="16"/>
    <col width="6" customWidth="1" min="17" max="17"/>
    <col width="12" customWidth="1" min="18" max="18"/>
    <col width="12" customWidth="1" min="19" max="19"/>
    <col width="12" customWidth="1" min="20" max="20"/>
  </cols>
  <sheetData>
    <row r="1" ht="16" customHeight="1">
      <c r="A1" s="1" t="inlineStr">
        <is>
          <t>ASANKO GOLD MINE   |   Incident Register  (DATA SPINE -- one row per event)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8" customHeight="1">
      <c r="A3" s="3" t="inlineStr">
        <is>
          <t>Edit / append here. Year, Month, Recordable, LTI &amp; CAR flags auto-calculate.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5" ht="28" customHeight="1">
      <c r="A5" s="27" t="inlineStr">
        <is>
          <t>ID</t>
        </is>
      </c>
      <c r="B5" s="27" t="inlineStr">
        <is>
          <t>Date</t>
        </is>
      </c>
      <c r="C5" s="27" t="inlineStr">
        <is>
          <t>Year</t>
        </is>
      </c>
      <c r="D5" s="27" t="inlineStr">
        <is>
          <t>MonthName</t>
        </is>
      </c>
      <c r="E5" s="27" t="inlineStr">
        <is>
          <t>Month</t>
        </is>
      </c>
      <c r="F5" s="27" t="inlineStr">
        <is>
          <t>Area</t>
        </is>
      </c>
      <c r="G5" s="27" t="inlineStr">
        <is>
          <t>Department</t>
        </is>
      </c>
      <c r="H5" s="27" t="inlineStr">
        <is>
          <t>Company</t>
        </is>
      </c>
      <c r="I5" s="27" t="inlineStr">
        <is>
          <t>Type</t>
        </is>
      </c>
      <c r="J5" s="27" t="inlineStr">
        <is>
          <t>Class</t>
        </is>
      </c>
      <c r="K5" s="27" t="inlineStr">
        <is>
          <t>Severity</t>
        </is>
      </c>
      <c r="L5" s="27" t="inlineStr">
        <is>
          <t>Status</t>
        </is>
      </c>
      <c r="M5" s="27" t="inlineStr">
        <is>
          <t>Reported</t>
        </is>
      </c>
      <c r="N5" s="27" t="inlineStr">
        <is>
          <t>CAR_Due</t>
        </is>
      </c>
      <c r="O5" s="27" t="inlineStr">
        <is>
          <t>Owner</t>
        </is>
      </c>
      <c r="P5" s="27" t="inlineStr">
        <is>
          <t>Recordable</t>
        </is>
      </c>
      <c r="Q5" s="27" t="inlineStr">
        <is>
          <t>LTI</t>
        </is>
      </c>
      <c r="R5" s="27" t="inlineStr">
        <is>
          <t>LTI_Date</t>
        </is>
      </c>
      <c r="S5" s="27" t="inlineStr">
        <is>
          <t>CAR_Overdue</t>
        </is>
      </c>
      <c r="T5" s="27" t="inlineStr">
        <is>
          <t>Days_Overdue</t>
        </is>
      </c>
    </row>
    <row r="6">
      <c r="A6" s="28" t="inlineStr">
        <is>
          <t>INC-0001</t>
        </is>
      </c>
      <c r="B6" s="29" t="n">
        <v>45457</v>
      </c>
      <c r="C6" s="28">
        <f>YEAR([@Date])</f>
        <v/>
      </c>
      <c r="D6" s="28">
        <f>TEXT([@Date],"mmm")</f>
        <v/>
      </c>
      <c r="E6" s="30">
        <f>MONTH([@Date])</f>
        <v/>
      </c>
      <c r="F6" s="28" t="inlineStr">
        <is>
          <t>Water Treatment</t>
        </is>
      </c>
      <c r="G6" s="28" t="inlineStr">
        <is>
          <t>Environment</t>
        </is>
      </c>
      <c r="H6" s="28" t="inlineStr">
        <is>
          <t>Owner (Asanko)</t>
        </is>
      </c>
      <c r="I6" s="28" t="inlineStr">
        <is>
          <t>First Aid</t>
        </is>
      </c>
      <c r="J6" s="28" t="inlineStr">
        <is>
          <t>Personal Injury</t>
        </is>
      </c>
      <c r="K6" s="31" t="n">
        <v>2</v>
      </c>
      <c r="L6" s="28" t="inlineStr">
        <is>
          <t>Closed</t>
        </is>
      </c>
      <c r="M6" s="29" t="n">
        <v>45459</v>
      </c>
      <c r="N6" s="29" t="n"/>
      <c r="O6" s="28" t="inlineStr">
        <is>
          <t>J. Boateng</t>
        </is>
      </c>
      <c r="P6" s="30">
        <f>IF(OR([@Type]="Lost Time Injury",[@Type]="Restricted Work",[@Type]="Medical Treatment"),1,0)</f>
        <v/>
      </c>
      <c r="Q6" s="30">
        <f>IF([@Type]="Lost Time Injury",1,0)</f>
        <v/>
      </c>
      <c r="R6" s="32">
        <f>IF([@Type]="Lost Time Injury",[@Date],"")</f>
        <v/>
      </c>
      <c r="S6" s="30">
        <f>IF(AND([@Status]&lt;&gt;"Closed",[@CAR_Due]&lt;&gt;"",[@CAR_Due]&lt;TODAY()),1,0)</f>
        <v/>
      </c>
      <c r="T6" s="30">
        <f>IF(AND([@Status]&lt;&gt;"Closed",[@CAR_Due]&lt;&gt;"",[@CAR_Due]&lt;TODAY()),TODAY()-[@CAR_Due],0)</f>
        <v/>
      </c>
    </row>
    <row r="7">
      <c r="A7" s="28" t="inlineStr">
        <is>
          <t>INC-0002</t>
        </is>
      </c>
      <c r="B7" s="29" t="n">
        <v>45446</v>
      </c>
      <c r="C7" s="28">
        <f>YEAR([@Date])</f>
        <v/>
      </c>
      <c r="D7" s="28">
        <f>TEXT([@Date],"mmm")</f>
        <v/>
      </c>
      <c r="E7" s="30">
        <f>MONTH([@Date])</f>
        <v/>
      </c>
      <c r="F7" s="28" t="inlineStr">
        <is>
          <t>HME Workshop</t>
        </is>
      </c>
      <c r="G7" s="28" t="inlineStr">
        <is>
          <t>Engineering</t>
        </is>
      </c>
      <c r="H7" s="28" t="inlineStr">
        <is>
          <t>Owner (Asanko)</t>
        </is>
      </c>
      <c r="I7" s="28" t="inlineStr">
        <is>
          <t>Environmental</t>
        </is>
      </c>
      <c r="J7" s="28" t="inlineStr">
        <is>
          <t>Environmental Release</t>
        </is>
      </c>
      <c r="K7" s="31" t="n">
        <v>2</v>
      </c>
      <c r="L7" s="28" t="inlineStr">
        <is>
          <t>Closed</t>
        </is>
      </c>
      <c r="M7" s="29" t="n">
        <v>45448</v>
      </c>
      <c r="N7" s="29" t="n">
        <v>45493</v>
      </c>
      <c r="O7" s="28" t="inlineStr">
        <is>
          <t>M. Quaye</t>
        </is>
      </c>
      <c r="P7" s="30">
        <f>IF(OR([@Type]="Lost Time Injury",[@Type]="Restricted Work",[@Type]="Medical Treatment"),1,0)</f>
        <v/>
      </c>
      <c r="Q7" s="30">
        <f>IF([@Type]="Lost Time Injury",1,0)</f>
        <v/>
      </c>
      <c r="R7" s="32">
        <f>IF([@Type]="Lost Time Injury",[@Date],"")</f>
        <v/>
      </c>
      <c r="S7" s="30">
        <f>IF(AND([@Status]&lt;&gt;"Closed",[@CAR_Due]&lt;&gt;"",[@CAR_Due]&lt;TODAY()),1,0)</f>
        <v/>
      </c>
      <c r="T7" s="30">
        <f>IF(AND([@Status]&lt;&gt;"Closed",[@CAR_Due]&lt;&gt;"",[@CAR_Due]&lt;TODAY()),TODAY()-[@CAR_Due],0)</f>
        <v/>
      </c>
    </row>
    <row r="8">
      <c r="A8" s="28" t="inlineStr">
        <is>
          <t>INC-0003</t>
        </is>
      </c>
      <c r="B8" s="29" t="n">
        <v>45460</v>
      </c>
      <c r="C8" s="28">
        <f>YEAR([@Date])</f>
        <v/>
      </c>
      <c r="D8" s="28">
        <f>TEXT([@Date],"mmm")</f>
        <v/>
      </c>
      <c r="E8" s="30">
        <f>MONTH([@Date])</f>
        <v/>
      </c>
      <c r="F8" s="28" t="inlineStr">
        <is>
          <t>Haul Roads</t>
        </is>
      </c>
      <c r="G8" s="28" t="inlineStr">
        <is>
          <t>Mining</t>
        </is>
      </c>
      <c r="H8" s="28" t="inlineStr">
        <is>
          <t>AUMS (Mining Contractor)</t>
        </is>
      </c>
      <c r="I8" s="28" t="inlineStr">
        <is>
          <t>Restricted Work</t>
        </is>
      </c>
      <c r="J8" s="28" t="inlineStr">
        <is>
          <t>Electrical</t>
        </is>
      </c>
      <c r="K8" s="31" t="n">
        <v>2</v>
      </c>
      <c r="L8" s="28" t="inlineStr">
        <is>
          <t>Closed</t>
        </is>
      </c>
      <c r="M8" s="29" t="n">
        <v>45460</v>
      </c>
      <c r="N8" s="29" t="n">
        <v>45517</v>
      </c>
      <c r="O8" s="28" t="inlineStr">
        <is>
          <t>E. Asante</t>
        </is>
      </c>
      <c r="P8" s="30">
        <f>IF(OR([@Type]="Lost Time Injury",[@Type]="Restricted Work",[@Type]="Medical Treatment"),1,0)</f>
        <v/>
      </c>
      <c r="Q8" s="30">
        <f>IF([@Type]="Lost Time Injury",1,0)</f>
        <v/>
      </c>
      <c r="R8" s="32">
        <f>IF([@Type]="Lost Time Injury",[@Date],"")</f>
        <v/>
      </c>
      <c r="S8" s="30">
        <f>IF(AND([@Status]&lt;&gt;"Closed",[@CAR_Due]&lt;&gt;"",[@CAR_Due]&lt;TODAY()),1,0)</f>
        <v/>
      </c>
      <c r="T8" s="30">
        <f>IF(AND([@Status]&lt;&gt;"Closed",[@CAR_Due]&lt;&gt;"",[@CAR_Due]&lt;TODAY()),TODAY()-[@CAR_Due],0)</f>
        <v/>
      </c>
    </row>
    <row r="9">
      <c r="A9" s="28" t="inlineStr">
        <is>
          <t>INC-0004</t>
        </is>
      </c>
      <c r="B9" s="29" t="n">
        <v>45446</v>
      </c>
      <c r="C9" s="28">
        <f>YEAR([@Date])</f>
        <v/>
      </c>
      <c r="D9" s="28">
        <f>TEXT([@Date],"mmm")</f>
        <v/>
      </c>
      <c r="E9" s="30">
        <f>MONTH([@Date])</f>
        <v/>
      </c>
      <c r="F9" s="28" t="inlineStr">
        <is>
          <t>Security Gatehouse</t>
        </is>
      </c>
      <c r="G9" s="28" t="inlineStr">
        <is>
          <t>Security</t>
        </is>
      </c>
      <c r="H9" s="28" t="inlineStr">
        <is>
          <t>G4S (Security)</t>
        </is>
      </c>
      <c r="I9" s="28" t="inlineStr">
        <is>
          <t>First Aid</t>
        </is>
      </c>
      <c r="J9" s="28" t="inlineStr">
        <is>
          <t>Slip / Trip / Fall</t>
        </is>
      </c>
      <c r="K9" s="31" t="n">
        <v>1</v>
      </c>
      <c r="L9" s="28" t="inlineStr">
        <is>
          <t>Closed</t>
        </is>
      </c>
      <c r="M9" s="29" t="n">
        <v>45447</v>
      </c>
      <c r="N9" s="29" t="n"/>
      <c r="O9" s="28" t="inlineStr">
        <is>
          <t>A. Owusu</t>
        </is>
      </c>
      <c r="P9" s="30">
        <f>IF(OR([@Type]="Lost Time Injury",[@Type]="Restricted Work",[@Type]="Medical Treatment"),1,0)</f>
        <v/>
      </c>
      <c r="Q9" s="30">
        <f>IF([@Type]="Lost Time Injury",1,0)</f>
        <v/>
      </c>
      <c r="R9" s="32">
        <f>IF([@Type]="Lost Time Injury",[@Date],"")</f>
        <v/>
      </c>
      <c r="S9" s="30">
        <f>IF(AND([@Status]&lt;&gt;"Closed",[@CAR_Due]&lt;&gt;"",[@CAR_Due]&lt;TODAY()),1,0)</f>
        <v/>
      </c>
      <c r="T9" s="30">
        <f>IF(AND([@Status]&lt;&gt;"Closed",[@CAR_Due]&lt;&gt;"",[@CAR_Due]&lt;TODAY()),TODAY()-[@CAR_Due],0)</f>
        <v/>
      </c>
    </row>
    <row r="10">
      <c r="A10" s="28" t="inlineStr">
        <is>
          <t>INC-0005</t>
        </is>
      </c>
      <c r="B10" s="29" t="n">
        <v>45458</v>
      </c>
      <c r="C10" s="28">
        <f>YEAR([@Date])</f>
        <v/>
      </c>
      <c r="D10" s="28">
        <f>TEXT([@Date],"mmm")</f>
        <v/>
      </c>
      <c r="E10" s="30">
        <f>MONTH([@Date])</f>
        <v/>
      </c>
      <c r="F10" s="28" t="inlineStr">
        <is>
          <t>Fuel Farm</t>
        </is>
      </c>
      <c r="G10" s="28" t="inlineStr">
        <is>
          <t>Engineering</t>
        </is>
      </c>
      <c r="H10" s="28" t="inlineStr">
        <is>
          <t>Owner (Asanko)</t>
        </is>
      </c>
      <c r="I10" s="28" t="inlineStr">
        <is>
          <t>First Aid</t>
        </is>
      </c>
      <c r="J10" s="28" t="inlineStr">
        <is>
          <t>Slip / Trip / Fall</t>
        </is>
      </c>
      <c r="K10" s="31" t="n">
        <v>2</v>
      </c>
      <c r="L10" s="28" t="inlineStr">
        <is>
          <t>Closed</t>
        </is>
      </c>
      <c r="M10" s="29" t="n">
        <v>45460</v>
      </c>
      <c r="N10" s="29" t="n"/>
      <c r="O10" s="28" t="inlineStr">
        <is>
          <t>S. Addo</t>
        </is>
      </c>
      <c r="P10" s="30">
        <f>IF(OR([@Type]="Lost Time Injury",[@Type]="Restricted Work",[@Type]="Medical Treatment"),1,0)</f>
        <v/>
      </c>
      <c r="Q10" s="30">
        <f>IF([@Type]="Lost Time Injury",1,0)</f>
        <v/>
      </c>
      <c r="R10" s="32">
        <f>IF([@Type]="Lost Time Injury",[@Date],"")</f>
        <v/>
      </c>
      <c r="S10" s="30">
        <f>IF(AND([@Status]&lt;&gt;"Closed",[@CAR_Due]&lt;&gt;"",[@CAR_Due]&lt;TODAY()),1,0)</f>
        <v/>
      </c>
      <c r="T10" s="30">
        <f>IF(AND([@Status]&lt;&gt;"Closed",[@CAR_Due]&lt;&gt;"",[@CAR_Due]&lt;TODAY()),TODAY()-[@CAR_Due],0)</f>
        <v/>
      </c>
    </row>
    <row r="11">
      <c r="A11" s="28" t="inlineStr">
        <is>
          <t>INC-0006</t>
        </is>
      </c>
      <c r="B11" s="29" t="n">
        <v>45457</v>
      </c>
      <c r="C11" s="28">
        <f>YEAR([@Date])</f>
        <v/>
      </c>
      <c r="D11" s="28">
        <f>TEXT([@Date],"mmm")</f>
        <v/>
      </c>
      <c r="E11" s="30">
        <f>MONTH([@Date])</f>
        <v/>
      </c>
      <c r="F11" s="28" t="inlineStr">
        <is>
          <t>Fuel Farm</t>
        </is>
      </c>
      <c r="G11" s="28" t="inlineStr">
        <is>
          <t>Engineering</t>
        </is>
      </c>
      <c r="H11" s="28" t="inlineStr">
        <is>
          <t>Owner (Asanko)</t>
        </is>
      </c>
      <c r="I11" s="28" t="inlineStr">
        <is>
          <t>First Aid</t>
        </is>
      </c>
      <c r="J11" s="28" t="inlineStr">
        <is>
          <t>Security</t>
        </is>
      </c>
      <c r="K11" s="31" t="n">
        <v>2</v>
      </c>
      <c r="L11" s="28" t="inlineStr">
        <is>
          <t>Closed</t>
        </is>
      </c>
      <c r="M11" s="29" t="n">
        <v>45459</v>
      </c>
      <c r="N11" s="29" t="n"/>
      <c r="O11" s="28" t="inlineStr">
        <is>
          <t>J. Boateng</t>
        </is>
      </c>
      <c r="P11" s="30">
        <f>IF(OR([@Type]="Lost Time Injury",[@Type]="Restricted Work",[@Type]="Medical Treatment"),1,0)</f>
        <v/>
      </c>
      <c r="Q11" s="30">
        <f>IF([@Type]="Lost Time Injury",1,0)</f>
        <v/>
      </c>
      <c r="R11" s="32">
        <f>IF([@Type]="Lost Time Injury",[@Date],"")</f>
        <v/>
      </c>
      <c r="S11" s="30">
        <f>IF(AND([@Status]&lt;&gt;"Closed",[@CAR_Due]&lt;&gt;"",[@CAR_Due]&lt;TODAY()),1,0)</f>
        <v/>
      </c>
      <c r="T11" s="30">
        <f>IF(AND([@Status]&lt;&gt;"Closed",[@CAR_Due]&lt;&gt;"",[@CAR_Due]&lt;TODAY()),TODAY()-[@CAR_Due],0)</f>
        <v/>
      </c>
    </row>
    <row r="12">
      <c r="A12" s="28" t="inlineStr">
        <is>
          <t>INC-0007</t>
        </is>
      </c>
      <c r="B12" s="29" t="n">
        <v>45464</v>
      </c>
      <c r="C12" s="28">
        <f>YEAR([@Date])</f>
        <v/>
      </c>
      <c r="D12" s="28">
        <f>TEXT([@Date],"mmm")</f>
        <v/>
      </c>
      <c r="E12" s="30">
        <f>MONTH([@Date])</f>
        <v/>
      </c>
      <c r="F12" s="28" t="inlineStr">
        <is>
          <t>Explosives Magazine</t>
        </is>
      </c>
      <c r="G12" s="28" t="inlineStr">
        <is>
          <t>Mining</t>
        </is>
      </c>
      <c r="H12" s="28" t="inlineStr">
        <is>
          <t>Maxam (Blasting)</t>
        </is>
      </c>
      <c r="I12" s="28" t="inlineStr">
        <is>
          <t>First Aid</t>
        </is>
      </c>
      <c r="J12" s="28" t="inlineStr">
        <is>
          <t>Personal Injury</t>
        </is>
      </c>
      <c r="K12" s="31" t="n">
        <v>1</v>
      </c>
      <c r="L12" s="28" t="inlineStr">
        <is>
          <t>Closed</t>
        </is>
      </c>
      <c r="M12" s="29" t="n">
        <v>45466</v>
      </c>
      <c r="N12" s="29" t="n"/>
      <c r="O12" s="28" t="inlineStr">
        <is>
          <t>M. Quaye</t>
        </is>
      </c>
      <c r="P12" s="30">
        <f>IF(OR([@Type]="Lost Time Injury",[@Type]="Restricted Work",[@Type]="Medical Treatment"),1,0)</f>
        <v/>
      </c>
      <c r="Q12" s="30">
        <f>IF([@Type]="Lost Time Injury",1,0)</f>
        <v/>
      </c>
      <c r="R12" s="32">
        <f>IF([@Type]="Lost Time Injury",[@Date],"")</f>
        <v/>
      </c>
      <c r="S12" s="30">
        <f>IF(AND([@Status]&lt;&gt;"Closed",[@CAR_Due]&lt;&gt;"",[@CAR_Due]&lt;TODAY()),1,0)</f>
        <v/>
      </c>
      <c r="T12" s="30">
        <f>IF(AND([@Status]&lt;&gt;"Closed",[@CAR_Due]&lt;&gt;"",[@CAR_Due]&lt;TODAY()),TODAY()-[@CAR_Due],0)</f>
        <v/>
      </c>
    </row>
    <row r="13">
      <c r="A13" s="28" t="inlineStr">
        <is>
          <t>INC-0008</t>
        </is>
      </c>
      <c r="B13" s="29" t="n">
        <v>45460</v>
      </c>
      <c r="C13" s="28">
        <f>YEAR([@Date])</f>
        <v/>
      </c>
      <c r="D13" s="28">
        <f>TEXT([@Date],"mmm")</f>
        <v/>
      </c>
      <c r="E13" s="30">
        <f>MONTH([@Date])</f>
        <v/>
      </c>
      <c r="F13" s="28" t="inlineStr">
        <is>
          <t>HME Workshop</t>
        </is>
      </c>
      <c r="G13" s="28" t="inlineStr">
        <is>
          <t>Engineering</t>
        </is>
      </c>
      <c r="H13" s="28" t="inlineStr">
        <is>
          <t>Owner (Asanko)</t>
        </is>
      </c>
      <c r="I13" s="28" t="inlineStr">
        <is>
          <t>Environmental</t>
        </is>
      </c>
      <c r="J13" s="28" t="inlineStr">
        <is>
          <t>Occupational Illness</t>
        </is>
      </c>
      <c r="K13" s="31" t="n">
        <v>3</v>
      </c>
      <c r="L13" s="28" t="inlineStr">
        <is>
          <t>Closed</t>
        </is>
      </c>
      <c r="M13" s="29" t="n">
        <v>45461</v>
      </c>
      <c r="N13" s="29" t="n">
        <v>45476</v>
      </c>
      <c r="O13" s="28" t="inlineStr">
        <is>
          <t>J. Boateng</t>
        </is>
      </c>
      <c r="P13" s="30">
        <f>IF(OR([@Type]="Lost Time Injury",[@Type]="Restricted Work",[@Type]="Medical Treatment"),1,0)</f>
        <v/>
      </c>
      <c r="Q13" s="30">
        <f>IF([@Type]="Lost Time Injury",1,0)</f>
        <v/>
      </c>
      <c r="R13" s="32">
        <f>IF([@Type]="Lost Time Injury",[@Date],"")</f>
        <v/>
      </c>
      <c r="S13" s="30">
        <f>IF(AND([@Status]&lt;&gt;"Closed",[@CAR_Due]&lt;&gt;"",[@CAR_Due]&lt;TODAY()),1,0)</f>
        <v/>
      </c>
      <c r="T13" s="30">
        <f>IF(AND([@Status]&lt;&gt;"Closed",[@CAR_Due]&lt;&gt;"",[@CAR_Due]&lt;TODAY()),TODAY()-[@CAR_Due],0)</f>
        <v/>
      </c>
    </row>
    <row r="14">
      <c r="A14" s="28" t="inlineStr">
        <is>
          <t>INC-0009</t>
        </is>
      </c>
      <c r="B14" s="29" t="n">
        <v>45469</v>
      </c>
      <c r="C14" s="28">
        <f>YEAR([@Date])</f>
        <v/>
      </c>
      <c r="D14" s="28">
        <f>TEXT([@Date],"mmm")</f>
        <v/>
      </c>
      <c r="E14" s="30">
        <f>MONTH([@Date])</f>
        <v/>
      </c>
      <c r="F14" s="28" t="inlineStr">
        <is>
          <t>Drill &amp; Blast</t>
        </is>
      </c>
      <c r="G14" s="28" t="inlineStr">
        <is>
          <t>Mining</t>
        </is>
      </c>
      <c r="H14" s="28" t="inlineStr">
        <is>
          <t>Maxam (Blasting)</t>
        </is>
      </c>
      <c r="I14" s="28" t="inlineStr">
        <is>
          <t>Property Damage</t>
        </is>
      </c>
      <c r="J14" s="28" t="inlineStr">
        <is>
          <t>Caught Between / Struck By</t>
        </is>
      </c>
      <c r="K14" s="31" t="n">
        <v>3</v>
      </c>
      <c r="L14" s="28" t="inlineStr">
        <is>
          <t>Closed</t>
        </is>
      </c>
      <c r="M14" s="29" t="n">
        <v>45470</v>
      </c>
      <c r="N14" s="29" t="n">
        <v>45511</v>
      </c>
      <c r="O14" s="28" t="inlineStr">
        <is>
          <t>Y. Darko</t>
        </is>
      </c>
      <c r="P14" s="30">
        <f>IF(OR([@Type]="Lost Time Injury",[@Type]="Restricted Work",[@Type]="Medical Treatment"),1,0)</f>
        <v/>
      </c>
      <c r="Q14" s="30">
        <f>IF([@Type]="Lost Time Injury",1,0)</f>
        <v/>
      </c>
      <c r="R14" s="32">
        <f>IF([@Type]="Lost Time Injury",[@Date],"")</f>
        <v/>
      </c>
      <c r="S14" s="30">
        <f>IF(AND([@Status]&lt;&gt;"Closed",[@CAR_Due]&lt;&gt;"",[@CAR_Due]&lt;TODAY()),1,0)</f>
        <v/>
      </c>
      <c r="T14" s="30">
        <f>IF(AND([@Status]&lt;&gt;"Closed",[@CAR_Due]&lt;&gt;"",[@CAR_Due]&lt;TODAY()),TODAY()-[@CAR_Due],0)</f>
        <v/>
      </c>
    </row>
    <row r="15">
      <c r="A15" s="28" t="inlineStr">
        <is>
          <t>INC-0010</t>
        </is>
      </c>
      <c r="B15" s="29" t="n">
        <v>45462</v>
      </c>
      <c r="C15" s="28">
        <f>YEAR([@Date])</f>
        <v/>
      </c>
      <c r="D15" s="28">
        <f>TEXT([@Date],"mmm")</f>
        <v/>
      </c>
      <c r="E15" s="30">
        <f>MONTH([@Date])</f>
        <v/>
      </c>
      <c r="F15" s="28" t="inlineStr">
        <is>
          <t>Water Treatment</t>
        </is>
      </c>
      <c r="G15" s="28" t="inlineStr">
        <is>
          <t>Environment</t>
        </is>
      </c>
      <c r="H15" s="28" t="inlineStr">
        <is>
          <t>Owner (Asanko)</t>
        </is>
      </c>
      <c r="I15" s="28" t="inlineStr">
        <is>
          <t>Property Damage</t>
        </is>
      </c>
      <c r="J15" s="28" t="inlineStr">
        <is>
          <t>Fire / Explosion</t>
        </is>
      </c>
      <c r="K15" s="31" t="n">
        <v>2</v>
      </c>
      <c r="L15" s="28" t="inlineStr">
        <is>
          <t>Closed</t>
        </is>
      </c>
      <c r="M15" s="29" t="n">
        <v>45462</v>
      </c>
      <c r="N15" s="29" t="n">
        <v>45522</v>
      </c>
      <c r="O15" s="28" t="inlineStr">
        <is>
          <t>J. Boateng</t>
        </is>
      </c>
      <c r="P15" s="30">
        <f>IF(OR([@Type]="Lost Time Injury",[@Type]="Restricted Work",[@Type]="Medical Treatment"),1,0)</f>
        <v/>
      </c>
      <c r="Q15" s="30">
        <f>IF([@Type]="Lost Time Injury",1,0)</f>
        <v/>
      </c>
      <c r="R15" s="32">
        <f>IF([@Type]="Lost Time Injury",[@Date],"")</f>
        <v/>
      </c>
      <c r="S15" s="30">
        <f>IF(AND([@Status]&lt;&gt;"Closed",[@CAR_Due]&lt;&gt;"",[@CAR_Due]&lt;TODAY()),1,0)</f>
        <v/>
      </c>
      <c r="T15" s="30">
        <f>IF(AND([@Status]&lt;&gt;"Closed",[@CAR_Due]&lt;&gt;"",[@CAR_Due]&lt;TODAY()),TODAY()-[@CAR_Due],0)</f>
        <v/>
      </c>
    </row>
    <row r="16">
      <c r="A16" s="28" t="inlineStr">
        <is>
          <t>INC-0011</t>
        </is>
      </c>
      <c r="B16" s="29" t="n">
        <v>45468</v>
      </c>
      <c r="C16" s="28">
        <f>YEAR([@Date])</f>
        <v/>
      </c>
      <c r="D16" s="28">
        <f>TEXT([@Date],"mmm")</f>
        <v/>
      </c>
      <c r="E16" s="30">
        <f>MONTH([@Date])</f>
        <v/>
      </c>
      <c r="F16" s="28" t="inlineStr">
        <is>
          <t>Elution &amp; Gold Room</t>
        </is>
      </c>
      <c r="G16" s="28" t="inlineStr">
        <is>
          <t>Processing</t>
        </is>
      </c>
      <c r="H16" s="28" t="inlineStr">
        <is>
          <t>Owner (Asanko)</t>
        </is>
      </c>
      <c r="I16" s="28" t="inlineStr">
        <is>
          <t>Other</t>
        </is>
      </c>
      <c r="J16" s="28" t="inlineStr">
        <is>
          <t>Other</t>
        </is>
      </c>
      <c r="K16" s="31" t="n">
        <v>1</v>
      </c>
      <c r="L16" s="28" t="inlineStr">
        <is>
          <t>Closed</t>
        </is>
      </c>
      <c r="M16" s="29" t="n">
        <v>45468</v>
      </c>
      <c r="N16" s="29" t="n"/>
      <c r="O16" s="28" t="inlineStr">
        <is>
          <t>J. Boateng</t>
        </is>
      </c>
      <c r="P16" s="30">
        <f>IF(OR([@Type]="Lost Time Injury",[@Type]="Restricted Work",[@Type]="Medical Treatment"),1,0)</f>
        <v/>
      </c>
      <c r="Q16" s="30">
        <f>IF([@Type]="Lost Time Injury",1,0)</f>
        <v/>
      </c>
      <c r="R16" s="32">
        <f>IF([@Type]="Lost Time Injury",[@Date],"")</f>
        <v/>
      </c>
      <c r="S16" s="30">
        <f>IF(AND([@Status]&lt;&gt;"Closed",[@CAR_Due]&lt;&gt;"",[@CAR_Due]&lt;TODAY()),1,0)</f>
        <v/>
      </c>
      <c r="T16" s="30">
        <f>IF(AND([@Status]&lt;&gt;"Closed",[@CAR_Due]&lt;&gt;"",[@CAR_Due]&lt;TODAY()),TODAY()-[@CAR_Due],0)</f>
        <v/>
      </c>
    </row>
    <row r="17">
      <c r="A17" s="28" t="inlineStr">
        <is>
          <t>INC-0012</t>
        </is>
      </c>
      <c r="B17" s="29" t="n">
        <v>45463</v>
      </c>
      <c r="C17" s="28">
        <f>YEAR([@Date])</f>
        <v/>
      </c>
      <c r="D17" s="28">
        <f>TEXT([@Date],"mmm")</f>
        <v/>
      </c>
      <c r="E17" s="30">
        <f>MONTH([@Date])</f>
        <v/>
      </c>
      <c r="F17" s="28" t="inlineStr">
        <is>
          <t>Elution &amp; Gold Room</t>
        </is>
      </c>
      <c r="G17" s="28" t="inlineStr">
        <is>
          <t>Processing</t>
        </is>
      </c>
      <c r="H17" s="28" t="inlineStr">
        <is>
          <t>Owner (Asanko)</t>
        </is>
      </c>
      <c r="I17" s="28" t="inlineStr">
        <is>
          <t>Property Damage</t>
        </is>
      </c>
      <c r="J17" s="28" t="inlineStr">
        <is>
          <t>Slip / Trip / Fall</t>
        </is>
      </c>
      <c r="K17" s="31" t="n">
        <v>3</v>
      </c>
      <c r="L17" s="28" t="inlineStr">
        <is>
          <t>Closed</t>
        </is>
      </c>
      <c r="M17" s="29" t="n">
        <v>45465</v>
      </c>
      <c r="N17" s="29" t="n">
        <v>45510</v>
      </c>
      <c r="O17" s="28" t="inlineStr">
        <is>
          <t>F. Agyeman</t>
        </is>
      </c>
      <c r="P17" s="30">
        <f>IF(OR([@Type]="Lost Time Injury",[@Type]="Restricted Work",[@Type]="Medical Treatment"),1,0)</f>
        <v/>
      </c>
      <c r="Q17" s="30">
        <f>IF([@Type]="Lost Time Injury",1,0)</f>
        <v/>
      </c>
      <c r="R17" s="32">
        <f>IF([@Type]="Lost Time Injury",[@Date],"")</f>
        <v/>
      </c>
      <c r="S17" s="30">
        <f>IF(AND([@Status]&lt;&gt;"Closed",[@CAR_Due]&lt;&gt;"",[@CAR_Due]&lt;TODAY()),1,0)</f>
        <v/>
      </c>
      <c r="T17" s="30">
        <f>IF(AND([@Status]&lt;&gt;"Closed",[@CAR_Due]&lt;&gt;"",[@CAR_Due]&lt;TODAY()),TODAY()-[@CAR_Due],0)</f>
        <v/>
      </c>
    </row>
    <row r="18">
      <c r="A18" s="28" t="inlineStr">
        <is>
          <t>INC-0013</t>
        </is>
      </c>
      <c r="B18" s="29" t="n">
        <v>45449</v>
      </c>
      <c r="C18" s="28">
        <f>YEAR([@Date])</f>
        <v/>
      </c>
      <c r="D18" s="28">
        <f>TEXT([@Date],"mmm")</f>
        <v/>
      </c>
      <c r="E18" s="30">
        <f>MONTH([@Date])</f>
        <v/>
      </c>
      <c r="F18" s="28" t="inlineStr">
        <is>
          <t>Crushing Circuit</t>
        </is>
      </c>
      <c r="G18" s="28" t="inlineStr">
        <is>
          <t>Processing</t>
        </is>
      </c>
      <c r="H18" s="28" t="inlineStr">
        <is>
          <t>Owner (Asanko)</t>
        </is>
      </c>
      <c r="I18" s="28" t="inlineStr">
        <is>
          <t>Medical Treatment</t>
        </is>
      </c>
      <c r="J18" s="28" t="inlineStr">
        <is>
          <t>Electrical</t>
        </is>
      </c>
      <c r="K18" s="31" t="n">
        <v>1</v>
      </c>
      <c r="L18" s="28" t="inlineStr">
        <is>
          <t>Closed</t>
        </is>
      </c>
      <c r="M18" s="29" t="n">
        <v>45451</v>
      </c>
      <c r="N18" s="29" t="n">
        <v>45498</v>
      </c>
      <c r="O18" s="28" t="inlineStr">
        <is>
          <t>A. Owusu</t>
        </is>
      </c>
      <c r="P18" s="30">
        <f>IF(OR([@Type]="Lost Time Injury",[@Type]="Restricted Work",[@Type]="Medical Treatment"),1,0)</f>
        <v/>
      </c>
      <c r="Q18" s="30">
        <f>IF([@Type]="Lost Time Injury",1,0)</f>
        <v/>
      </c>
      <c r="R18" s="32">
        <f>IF([@Type]="Lost Time Injury",[@Date],"")</f>
        <v/>
      </c>
      <c r="S18" s="30">
        <f>IF(AND([@Status]&lt;&gt;"Closed",[@CAR_Due]&lt;&gt;"",[@CAR_Due]&lt;TODAY()),1,0)</f>
        <v/>
      </c>
      <c r="T18" s="30">
        <f>IF(AND([@Status]&lt;&gt;"Closed",[@CAR_Due]&lt;&gt;"",[@CAR_Due]&lt;TODAY()),TODAY()-[@CAR_Due],0)</f>
        <v/>
      </c>
    </row>
    <row r="19">
      <c r="A19" s="28" t="inlineStr">
        <is>
          <t>INC-0014</t>
        </is>
      </c>
      <c r="B19" s="29" t="n">
        <v>45477</v>
      </c>
      <c r="C19" s="28">
        <f>YEAR([@Date])</f>
        <v/>
      </c>
      <c r="D19" s="28">
        <f>TEXT([@Date],"mmm")</f>
        <v/>
      </c>
      <c r="E19" s="30">
        <f>MONTH([@Date])</f>
        <v/>
      </c>
      <c r="F19" s="28" t="inlineStr">
        <is>
          <t>Processing Plant (CIL)</t>
        </is>
      </c>
      <c r="G19" s="28" t="inlineStr">
        <is>
          <t>Processing</t>
        </is>
      </c>
      <c r="H19" s="28" t="inlineStr">
        <is>
          <t>Owner (Asanko)</t>
        </is>
      </c>
      <c r="I19" s="28" t="inlineStr">
        <is>
          <t>Other</t>
        </is>
      </c>
      <c r="J19" s="28" t="inlineStr">
        <is>
          <t>Electrical</t>
        </is>
      </c>
      <c r="K19" s="31" t="n">
        <v>3</v>
      </c>
      <c r="L19" s="28" t="inlineStr">
        <is>
          <t>Closed</t>
        </is>
      </c>
      <c r="M19" s="29" t="n">
        <v>45478</v>
      </c>
      <c r="N19" s="29" t="n"/>
      <c r="O19" s="28" t="inlineStr">
        <is>
          <t>M. Quaye</t>
        </is>
      </c>
      <c r="P19" s="30">
        <f>IF(OR([@Type]="Lost Time Injury",[@Type]="Restricted Work",[@Type]="Medical Treatment"),1,0)</f>
        <v/>
      </c>
      <c r="Q19" s="30">
        <f>IF([@Type]="Lost Time Injury",1,0)</f>
        <v/>
      </c>
      <c r="R19" s="32">
        <f>IF([@Type]="Lost Time Injury",[@Date],"")</f>
        <v/>
      </c>
      <c r="S19" s="30">
        <f>IF(AND([@Status]&lt;&gt;"Closed",[@CAR_Due]&lt;&gt;"",[@CAR_Due]&lt;TODAY()),1,0)</f>
        <v/>
      </c>
      <c r="T19" s="30">
        <f>IF(AND([@Status]&lt;&gt;"Closed",[@CAR_Due]&lt;&gt;"",[@CAR_Due]&lt;TODAY()),TODAY()-[@CAR_Due],0)</f>
        <v/>
      </c>
    </row>
    <row r="20">
      <c r="A20" s="28" t="inlineStr">
        <is>
          <t>INC-0015</t>
        </is>
      </c>
      <c r="B20" s="29" t="n">
        <v>45498</v>
      </c>
      <c r="C20" s="28">
        <f>YEAR([@Date])</f>
        <v/>
      </c>
      <c r="D20" s="28">
        <f>TEXT([@Date],"mmm")</f>
        <v/>
      </c>
      <c r="E20" s="30">
        <f>MONTH([@Date])</f>
        <v/>
      </c>
      <c r="F20" s="28" t="inlineStr">
        <is>
          <t>Security Gatehouse</t>
        </is>
      </c>
      <c r="G20" s="28" t="inlineStr">
        <is>
          <t>Security</t>
        </is>
      </c>
      <c r="H20" s="28" t="inlineStr">
        <is>
          <t>G4S (Security)</t>
        </is>
      </c>
      <c r="I20" s="28" t="inlineStr">
        <is>
          <t>Environmental</t>
        </is>
      </c>
      <c r="J20" s="28" t="inlineStr">
        <is>
          <t>Occupational Illness</t>
        </is>
      </c>
      <c r="K20" s="31" t="n">
        <v>3</v>
      </c>
      <c r="L20" s="28" t="inlineStr">
        <is>
          <t>Closed</t>
        </is>
      </c>
      <c r="M20" s="29" t="n">
        <v>45499</v>
      </c>
      <c r="N20" s="29" t="n">
        <v>45516</v>
      </c>
      <c r="O20" s="28" t="inlineStr">
        <is>
          <t>P. Annan</t>
        </is>
      </c>
      <c r="P20" s="30">
        <f>IF(OR([@Type]="Lost Time Injury",[@Type]="Restricted Work",[@Type]="Medical Treatment"),1,0)</f>
        <v/>
      </c>
      <c r="Q20" s="30">
        <f>IF([@Type]="Lost Time Injury",1,0)</f>
        <v/>
      </c>
      <c r="R20" s="32">
        <f>IF([@Type]="Lost Time Injury",[@Date],"")</f>
        <v/>
      </c>
      <c r="S20" s="30">
        <f>IF(AND([@Status]&lt;&gt;"Closed",[@CAR_Due]&lt;&gt;"",[@CAR_Due]&lt;TODAY()),1,0)</f>
        <v/>
      </c>
      <c r="T20" s="30">
        <f>IF(AND([@Status]&lt;&gt;"Closed",[@CAR_Due]&lt;&gt;"",[@CAR_Due]&lt;TODAY()),TODAY()-[@CAR_Due],0)</f>
        <v/>
      </c>
    </row>
    <row r="21">
      <c r="A21" s="28" t="inlineStr">
        <is>
          <t>INC-0016</t>
        </is>
      </c>
      <c r="B21" s="29" t="n">
        <v>45496</v>
      </c>
      <c r="C21" s="28">
        <f>YEAR([@Date])</f>
        <v/>
      </c>
      <c r="D21" s="28">
        <f>TEXT([@Date],"mmm")</f>
        <v/>
      </c>
      <c r="E21" s="30">
        <f>MONTH([@Date])</f>
        <v/>
      </c>
      <c r="F21" s="28" t="inlineStr">
        <is>
          <t>Accommodation Camp</t>
        </is>
      </c>
      <c r="G21" s="28" t="inlineStr">
        <is>
          <t>Administration</t>
        </is>
      </c>
      <c r="H21" s="28" t="inlineStr">
        <is>
          <t>Catering Co (Camp)</t>
        </is>
      </c>
      <c r="I21" s="28" t="inlineStr">
        <is>
          <t>First Aid</t>
        </is>
      </c>
      <c r="J21" s="28" t="inlineStr">
        <is>
          <t>Fall from Height</t>
        </is>
      </c>
      <c r="K21" s="31" t="n">
        <v>1</v>
      </c>
      <c r="L21" s="28" t="inlineStr">
        <is>
          <t>Closed</t>
        </is>
      </c>
      <c r="M21" s="29" t="n">
        <v>45496</v>
      </c>
      <c r="N21" s="29" t="n"/>
      <c r="O21" s="28" t="inlineStr">
        <is>
          <t>A. Owusu</t>
        </is>
      </c>
      <c r="P21" s="30">
        <f>IF(OR([@Type]="Lost Time Injury",[@Type]="Restricted Work",[@Type]="Medical Treatment"),1,0)</f>
        <v/>
      </c>
      <c r="Q21" s="30">
        <f>IF([@Type]="Lost Time Injury",1,0)</f>
        <v/>
      </c>
      <c r="R21" s="32">
        <f>IF([@Type]="Lost Time Injury",[@Date],"")</f>
        <v/>
      </c>
      <c r="S21" s="30">
        <f>IF(AND([@Status]&lt;&gt;"Closed",[@CAR_Due]&lt;&gt;"",[@CAR_Due]&lt;TODAY()),1,0)</f>
        <v/>
      </c>
      <c r="T21" s="30">
        <f>IF(AND([@Status]&lt;&gt;"Closed",[@CAR_Due]&lt;&gt;"",[@CAR_Due]&lt;TODAY()),TODAY()-[@CAR_Due],0)</f>
        <v/>
      </c>
    </row>
    <row r="22">
      <c r="A22" s="28" t="inlineStr">
        <is>
          <t>INC-0017</t>
        </is>
      </c>
      <c r="B22" s="29" t="n">
        <v>45500</v>
      </c>
      <c r="C22" s="28">
        <f>YEAR([@Date])</f>
        <v/>
      </c>
      <c r="D22" s="28">
        <f>TEXT([@Date],"mmm")</f>
        <v/>
      </c>
      <c r="E22" s="30">
        <f>MONTH([@Date])</f>
        <v/>
      </c>
      <c r="F22" s="28" t="inlineStr">
        <is>
          <t>Tailings Storage Facility</t>
        </is>
      </c>
      <c r="G22" s="28" t="inlineStr">
        <is>
          <t>Environment</t>
        </is>
      </c>
      <c r="H22" s="28" t="inlineStr">
        <is>
          <t>Owner (Asanko)</t>
        </is>
      </c>
      <c r="I22" s="28" t="inlineStr">
        <is>
          <t>Environmental</t>
        </is>
      </c>
      <c r="J22" s="28" t="inlineStr">
        <is>
          <t>Occupational Illness</t>
        </is>
      </c>
      <c r="K22" s="31" t="n">
        <v>3</v>
      </c>
      <c r="L22" s="28" t="inlineStr">
        <is>
          <t>Closed</t>
        </is>
      </c>
      <c r="M22" s="29" t="n">
        <v>45501</v>
      </c>
      <c r="N22" s="29" t="n">
        <v>45535</v>
      </c>
      <c r="O22" s="28" t="inlineStr">
        <is>
          <t>Y. Darko</t>
        </is>
      </c>
      <c r="P22" s="30">
        <f>IF(OR([@Type]="Lost Time Injury",[@Type]="Restricted Work",[@Type]="Medical Treatment"),1,0)</f>
        <v/>
      </c>
      <c r="Q22" s="30">
        <f>IF([@Type]="Lost Time Injury",1,0)</f>
        <v/>
      </c>
      <c r="R22" s="32">
        <f>IF([@Type]="Lost Time Injury",[@Date],"")</f>
        <v/>
      </c>
      <c r="S22" s="30">
        <f>IF(AND([@Status]&lt;&gt;"Closed",[@CAR_Due]&lt;&gt;"",[@CAR_Due]&lt;TODAY()),1,0)</f>
        <v/>
      </c>
      <c r="T22" s="30">
        <f>IF(AND([@Status]&lt;&gt;"Closed",[@CAR_Due]&lt;&gt;"",[@CAR_Due]&lt;TODAY()),TODAY()-[@CAR_Due],0)</f>
        <v/>
      </c>
    </row>
    <row r="23">
      <c r="A23" s="28" t="inlineStr">
        <is>
          <t>INC-0018</t>
        </is>
      </c>
      <c r="B23" s="29" t="n">
        <v>45494</v>
      </c>
      <c r="C23" s="28">
        <f>YEAR([@Date])</f>
        <v/>
      </c>
      <c r="D23" s="28">
        <f>TEXT([@Date],"mmm")</f>
        <v/>
      </c>
      <c r="E23" s="30">
        <f>MONTH([@Date])</f>
        <v/>
      </c>
      <c r="F23" s="28" t="inlineStr">
        <is>
          <t>Esaase Open Pit</t>
        </is>
      </c>
      <c r="G23" s="28" t="inlineStr">
        <is>
          <t>Mining</t>
        </is>
      </c>
      <c r="H23" s="28" t="inlineStr">
        <is>
          <t>AUMS (Mining Contractor)</t>
        </is>
      </c>
      <c r="I23" s="28" t="inlineStr">
        <is>
          <t>First Aid</t>
        </is>
      </c>
      <c r="J23" s="28" t="inlineStr">
        <is>
          <t>Personal Injury</t>
        </is>
      </c>
      <c r="K23" s="31" t="n">
        <v>1</v>
      </c>
      <c r="L23" s="28" t="inlineStr">
        <is>
          <t>Closed</t>
        </is>
      </c>
      <c r="M23" s="29" t="n">
        <v>45496</v>
      </c>
      <c r="N23" s="29" t="n"/>
      <c r="O23" s="28" t="inlineStr">
        <is>
          <t>A. Owusu</t>
        </is>
      </c>
      <c r="P23" s="30">
        <f>IF(OR([@Type]="Lost Time Injury",[@Type]="Restricted Work",[@Type]="Medical Treatment"),1,0)</f>
        <v/>
      </c>
      <c r="Q23" s="30">
        <f>IF([@Type]="Lost Time Injury",1,0)</f>
        <v/>
      </c>
      <c r="R23" s="32">
        <f>IF([@Type]="Lost Time Injury",[@Date],"")</f>
        <v/>
      </c>
      <c r="S23" s="30">
        <f>IF(AND([@Status]&lt;&gt;"Closed",[@CAR_Due]&lt;&gt;"",[@CAR_Due]&lt;TODAY()),1,0)</f>
        <v/>
      </c>
      <c r="T23" s="30">
        <f>IF(AND([@Status]&lt;&gt;"Closed",[@CAR_Due]&lt;&gt;"",[@CAR_Due]&lt;TODAY()),TODAY()-[@CAR_Due],0)</f>
        <v/>
      </c>
    </row>
    <row r="24">
      <c r="A24" s="28" t="inlineStr">
        <is>
          <t>INC-0019</t>
        </is>
      </c>
      <c r="B24" s="29" t="n">
        <v>45479</v>
      </c>
      <c r="C24" s="28">
        <f>YEAR([@Date])</f>
        <v/>
      </c>
      <c r="D24" s="28">
        <f>TEXT([@Date],"mmm")</f>
        <v/>
      </c>
      <c r="E24" s="30">
        <f>MONTH([@Date])</f>
        <v/>
      </c>
      <c r="F24" s="28" t="inlineStr">
        <is>
          <t>Crushing Circuit</t>
        </is>
      </c>
      <c r="G24" s="28" t="inlineStr">
        <is>
          <t>Processing</t>
        </is>
      </c>
      <c r="H24" s="28" t="inlineStr">
        <is>
          <t>Owner (Asanko)</t>
        </is>
      </c>
      <c r="I24" s="28" t="inlineStr">
        <is>
          <t>First Aid</t>
        </is>
      </c>
      <c r="J24" s="28" t="inlineStr">
        <is>
          <t>Chemical / Cyanide Spill</t>
        </is>
      </c>
      <c r="K24" s="31" t="n">
        <v>1</v>
      </c>
      <c r="L24" s="28" t="inlineStr">
        <is>
          <t>Closed</t>
        </is>
      </c>
      <c r="M24" s="29" t="n">
        <v>45480</v>
      </c>
      <c r="N24" s="29" t="n"/>
      <c r="O24" s="28" t="inlineStr">
        <is>
          <t>D. Tetteh</t>
        </is>
      </c>
      <c r="P24" s="30">
        <f>IF(OR([@Type]="Lost Time Injury",[@Type]="Restricted Work",[@Type]="Medical Treatment"),1,0)</f>
        <v/>
      </c>
      <c r="Q24" s="30">
        <f>IF([@Type]="Lost Time Injury",1,0)</f>
        <v/>
      </c>
      <c r="R24" s="32">
        <f>IF([@Type]="Lost Time Injury",[@Date],"")</f>
        <v/>
      </c>
      <c r="S24" s="30">
        <f>IF(AND([@Status]&lt;&gt;"Closed",[@CAR_Due]&lt;&gt;"",[@CAR_Due]&lt;TODAY()),1,0)</f>
        <v/>
      </c>
      <c r="T24" s="30">
        <f>IF(AND([@Status]&lt;&gt;"Closed",[@CAR_Due]&lt;&gt;"",[@CAR_Due]&lt;TODAY()),TODAY()-[@CAR_Due],0)</f>
        <v/>
      </c>
    </row>
    <row r="25">
      <c r="A25" s="28" t="inlineStr">
        <is>
          <t>INC-0020</t>
        </is>
      </c>
      <c r="B25" s="29" t="n">
        <v>45492</v>
      </c>
      <c r="C25" s="28">
        <f>YEAR([@Date])</f>
        <v/>
      </c>
      <c r="D25" s="28">
        <f>TEXT([@Date],"mmm")</f>
        <v/>
      </c>
      <c r="E25" s="30">
        <f>MONTH([@Date])</f>
        <v/>
      </c>
      <c r="F25" s="28" t="inlineStr">
        <is>
          <t>Security Gatehouse</t>
        </is>
      </c>
      <c r="G25" s="28" t="inlineStr">
        <is>
          <t>Security</t>
        </is>
      </c>
      <c r="H25" s="28" t="inlineStr">
        <is>
          <t>G4S (Security)</t>
        </is>
      </c>
      <c r="I25" s="28" t="inlineStr">
        <is>
          <t>First Aid</t>
        </is>
      </c>
      <c r="J25" s="28" t="inlineStr">
        <is>
          <t>Personal Injury</t>
        </is>
      </c>
      <c r="K25" s="31" t="n">
        <v>2</v>
      </c>
      <c r="L25" s="28" t="inlineStr">
        <is>
          <t>Closed</t>
        </is>
      </c>
      <c r="M25" s="29" t="n">
        <v>45492</v>
      </c>
      <c r="N25" s="29" t="n"/>
      <c r="O25" s="28" t="inlineStr">
        <is>
          <t>P. Annan</t>
        </is>
      </c>
      <c r="P25" s="30">
        <f>IF(OR([@Type]="Lost Time Injury",[@Type]="Restricted Work",[@Type]="Medical Treatment"),1,0)</f>
        <v/>
      </c>
      <c r="Q25" s="30">
        <f>IF([@Type]="Lost Time Injury",1,0)</f>
        <v/>
      </c>
      <c r="R25" s="32">
        <f>IF([@Type]="Lost Time Injury",[@Date],"")</f>
        <v/>
      </c>
      <c r="S25" s="30">
        <f>IF(AND([@Status]&lt;&gt;"Closed",[@CAR_Due]&lt;&gt;"",[@CAR_Due]&lt;TODAY()),1,0)</f>
        <v/>
      </c>
      <c r="T25" s="30">
        <f>IF(AND([@Status]&lt;&gt;"Closed",[@CAR_Due]&lt;&gt;"",[@CAR_Due]&lt;TODAY()),TODAY()-[@CAR_Due],0)</f>
        <v/>
      </c>
    </row>
    <row r="26">
      <c r="A26" s="28" t="inlineStr">
        <is>
          <t>INC-0021</t>
        </is>
      </c>
      <c r="B26" s="29" t="n">
        <v>45482</v>
      </c>
      <c r="C26" s="28">
        <f>YEAR([@Date])</f>
        <v/>
      </c>
      <c r="D26" s="28">
        <f>TEXT([@Date],"mmm")</f>
        <v/>
      </c>
      <c r="E26" s="30">
        <f>MONTH([@Date])</f>
        <v/>
      </c>
      <c r="F26" s="28" t="inlineStr">
        <is>
          <t>Tailings Storage Facility</t>
        </is>
      </c>
      <c r="G26" s="28" t="inlineStr">
        <is>
          <t>Environment</t>
        </is>
      </c>
      <c r="H26" s="28" t="inlineStr">
        <is>
          <t>Owner (Asanko)</t>
        </is>
      </c>
      <c r="I26" s="28" t="inlineStr">
        <is>
          <t>Environmental</t>
        </is>
      </c>
      <c r="J26" s="28" t="inlineStr">
        <is>
          <t>Other</t>
        </is>
      </c>
      <c r="K26" s="31" t="n">
        <v>2</v>
      </c>
      <c r="L26" s="28" t="inlineStr">
        <is>
          <t>Closed</t>
        </is>
      </c>
      <c r="M26" s="29" t="n">
        <v>45483</v>
      </c>
      <c r="N26" s="29" t="n">
        <v>45517</v>
      </c>
      <c r="O26" s="28" t="inlineStr">
        <is>
          <t>A. Owusu</t>
        </is>
      </c>
      <c r="P26" s="30">
        <f>IF(OR([@Type]="Lost Time Injury",[@Type]="Restricted Work",[@Type]="Medical Treatment"),1,0)</f>
        <v/>
      </c>
      <c r="Q26" s="30">
        <f>IF([@Type]="Lost Time Injury",1,0)</f>
        <v/>
      </c>
      <c r="R26" s="32">
        <f>IF([@Type]="Lost Time Injury",[@Date],"")</f>
        <v/>
      </c>
      <c r="S26" s="30">
        <f>IF(AND([@Status]&lt;&gt;"Closed",[@CAR_Due]&lt;&gt;"",[@CAR_Due]&lt;TODAY()),1,0)</f>
        <v/>
      </c>
      <c r="T26" s="30">
        <f>IF(AND([@Status]&lt;&gt;"Closed",[@CAR_Due]&lt;&gt;"",[@CAR_Due]&lt;TODAY()),TODAY()-[@CAR_Due],0)</f>
        <v/>
      </c>
    </row>
    <row r="27">
      <c r="A27" s="28" t="inlineStr">
        <is>
          <t>INC-0022</t>
        </is>
      </c>
      <c r="B27" s="29" t="n">
        <v>45514</v>
      </c>
      <c r="C27" s="28">
        <f>YEAR([@Date])</f>
        <v/>
      </c>
      <c r="D27" s="28">
        <f>TEXT([@Date],"mmm")</f>
        <v/>
      </c>
      <c r="E27" s="30">
        <f>MONTH([@Date])</f>
        <v/>
      </c>
      <c r="F27" s="28" t="inlineStr">
        <is>
          <t>Assay Laboratory</t>
        </is>
      </c>
      <c r="G27" s="28" t="inlineStr">
        <is>
          <t>Laboratory</t>
        </is>
      </c>
      <c r="H27" s="28" t="inlineStr">
        <is>
          <t>SGS (Laboratory)</t>
        </is>
      </c>
      <c r="I27" s="28" t="inlineStr">
        <is>
          <t>Other</t>
        </is>
      </c>
      <c r="J27" s="28" t="inlineStr">
        <is>
          <t>Caught Between / Struck By</t>
        </is>
      </c>
      <c r="K27" s="31" t="n">
        <v>1</v>
      </c>
      <c r="L27" s="28" t="inlineStr">
        <is>
          <t>Closed</t>
        </is>
      </c>
      <c r="M27" s="29" t="n">
        <v>45515</v>
      </c>
      <c r="N27" s="29" t="n"/>
      <c r="O27" s="28" t="inlineStr">
        <is>
          <t>S. Addo</t>
        </is>
      </c>
      <c r="P27" s="30">
        <f>IF(OR([@Type]="Lost Time Injury",[@Type]="Restricted Work",[@Type]="Medical Treatment"),1,0)</f>
        <v/>
      </c>
      <c r="Q27" s="30">
        <f>IF([@Type]="Lost Time Injury",1,0)</f>
        <v/>
      </c>
      <c r="R27" s="32">
        <f>IF([@Type]="Lost Time Injury",[@Date],"")</f>
        <v/>
      </c>
      <c r="S27" s="30">
        <f>IF(AND([@Status]&lt;&gt;"Closed",[@CAR_Due]&lt;&gt;"",[@CAR_Due]&lt;TODAY()),1,0)</f>
        <v/>
      </c>
      <c r="T27" s="30">
        <f>IF(AND([@Status]&lt;&gt;"Closed",[@CAR_Due]&lt;&gt;"",[@CAR_Due]&lt;TODAY()),TODAY()-[@CAR_Due],0)</f>
        <v/>
      </c>
    </row>
    <row r="28">
      <c r="A28" s="28" t="inlineStr">
        <is>
          <t>INC-0023</t>
        </is>
      </c>
      <c r="B28" s="29" t="n">
        <v>45513</v>
      </c>
      <c r="C28" s="28">
        <f>YEAR([@Date])</f>
        <v/>
      </c>
      <c r="D28" s="28">
        <f>TEXT([@Date],"mmm")</f>
        <v/>
      </c>
      <c r="E28" s="30">
        <f>MONTH([@Date])</f>
        <v/>
      </c>
      <c r="F28" s="28" t="inlineStr">
        <is>
          <t>Drill &amp; Blast</t>
        </is>
      </c>
      <c r="G28" s="28" t="inlineStr">
        <is>
          <t>Mining</t>
        </is>
      </c>
      <c r="H28" s="28" t="inlineStr">
        <is>
          <t>Maxam (Blasting)</t>
        </is>
      </c>
      <c r="I28" s="28" t="inlineStr">
        <is>
          <t>Property Damage</t>
        </is>
      </c>
      <c r="J28" s="28" t="inlineStr">
        <is>
          <t>Caught Between / Struck By</t>
        </is>
      </c>
      <c r="K28" s="31" t="n">
        <v>3</v>
      </c>
      <c r="L28" s="28" t="inlineStr">
        <is>
          <t>Closed</t>
        </is>
      </c>
      <c r="M28" s="29" t="n">
        <v>45515</v>
      </c>
      <c r="N28" s="29" t="n">
        <v>45565</v>
      </c>
      <c r="O28" s="28" t="inlineStr">
        <is>
          <t>D. Tetteh</t>
        </is>
      </c>
      <c r="P28" s="30">
        <f>IF(OR([@Type]="Lost Time Injury",[@Type]="Restricted Work",[@Type]="Medical Treatment"),1,0)</f>
        <v/>
      </c>
      <c r="Q28" s="30">
        <f>IF([@Type]="Lost Time Injury",1,0)</f>
        <v/>
      </c>
      <c r="R28" s="32">
        <f>IF([@Type]="Lost Time Injury",[@Date],"")</f>
        <v/>
      </c>
      <c r="S28" s="30">
        <f>IF(AND([@Status]&lt;&gt;"Closed",[@CAR_Due]&lt;&gt;"",[@CAR_Due]&lt;TODAY()),1,0)</f>
        <v/>
      </c>
      <c r="T28" s="30">
        <f>IF(AND([@Status]&lt;&gt;"Closed",[@CAR_Due]&lt;&gt;"",[@CAR_Due]&lt;TODAY()),TODAY()-[@CAR_Due],0)</f>
        <v/>
      </c>
    </row>
    <row r="29">
      <c r="A29" s="28" t="inlineStr">
        <is>
          <t>INC-0024</t>
        </is>
      </c>
      <c r="B29" s="29" t="n">
        <v>45512</v>
      </c>
      <c r="C29" s="28">
        <f>YEAR([@Date])</f>
        <v/>
      </c>
      <c r="D29" s="28">
        <f>TEXT([@Date],"mmm")</f>
        <v/>
      </c>
      <c r="E29" s="30">
        <f>MONTH([@Date])</f>
        <v/>
      </c>
      <c r="F29" s="28" t="inlineStr">
        <is>
          <t>Security Gatehouse</t>
        </is>
      </c>
      <c r="G29" s="28" t="inlineStr">
        <is>
          <t>Security</t>
        </is>
      </c>
      <c r="H29" s="28" t="inlineStr">
        <is>
          <t>G4S (Security)</t>
        </is>
      </c>
      <c r="I29" s="28" t="inlineStr">
        <is>
          <t>Medical Treatment</t>
        </is>
      </c>
      <c r="J29" s="28" t="inlineStr">
        <is>
          <t>Slip / Trip / Fall</t>
        </is>
      </c>
      <c r="K29" s="31" t="n">
        <v>2</v>
      </c>
      <c r="L29" s="28" t="inlineStr">
        <is>
          <t>Closed</t>
        </is>
      </c>
      <c r="M29" s="29" t="n">
        <v>45513</v>
      </c>
      <c r="N29" s="29" t="n">
        <v>45544</v>
      </c>
      <c r="O29" s="28" t="inlineStr">
        <is>
          <t>F. Agyeman</t>
        </is>
      </c>
      <c r="P29" s="30">
        <f>IF(OR([@Type]="Lost Time Injury",[@Type]="Restricted Work",[@Type]="Medical Treatment"),1,0)</f>
        <v/>
      </c>
      <c r="Q29" s="30">
        <f>IF([@Type]="Lost Time Injury",1,0)</f>
        <v/>
      </c>
      <c r="R29" s="32">
        <f>IF([@Type]="Lost Time Injury",[@Date],"")</f>
        <v/>
      </c>
      <c r="S29" s="30">
        <f>IF(AND([@Status]&lt;&gt;"Closed",[@CAR_Due]&lt;&gt;"",[@CAR_Due]&lt;TODAY()),1,0)</f>
        <v/>
      </c>
      <c r="T29" s="30">
        <f>IF(AND([@Status]&lt;&gt;"Closed",[@CAR_Due]&lt;&gt;"",[@CAR_Due]&lt;TODAY()),TODAY()-[@CAR_Due],0)</f>
        <v/>
      </c>
    </row>
    <row r="30">
      <c r="A30" s="28" t="inlineStr">
        <is>
          <t>INC-0025</t>
        </is>
      </c>
      <c r="B30" s="29" t="n">
        <v>45514</v>
      </c>
      <c r="C30" s="28">
        <f>YEAR([@Date])</f>
        <v/>
      </c>
      <c r="D30" s="28">
        <f>TEXT([@Date],"mmm")</f>
        <v/>
      </c>
      <c r="E30" s="30">
        <f>MONTH([@Date])</f>
        <v/>
      </c>
      <c r="F30" s="28" t="inlineStr">
        <is>
          <t>Security Gatehouse</t>
        </is>
      </c>
      <c r="G30" s="28" t="inlineStr">
        <is>
          <t>Security</t>
        </is>
      </c>
      <c r="H30" s="28" t="inlineStr">
        <is>
          <t>G4S (Security)</t>
        </is>
      </c>
      <c r="I30" s="28" t="inlineStr">
        <is>
          <t>Other</t>
        </is>
      </c>
      <c r="J30" s="28" t="inlineStr">
        <is>
          <t>Fall from Height</t>
        </is>
      </c>
      <c r="K30" s="31" t="n">
        <v>1</v>
      </c>
      <c r="L30" s="28" t="inlineStr">
        <is>
          <t>Closed</t>
        </is>
      </c>
      <c r="M30" s="29" t="n">
        <v>45515</v>
      </c>
      <c r="N30" s="29" t="n"/>
      <c r="O30" s="28" t="inlineStr">
        <is>
          <t>D. Tetteh</t>
        </is>
      </c>
      <c r="P30" s="30">
        <f>IF(OR([@Type]="Lost Time Injury",[@Type]="Restricted Work",[@Type]="Medical Treatment"),1,0)</f>
        <v/>
      </c>
      <c r="Q30" s="30">
        <f>IF([@Type]="Lost Time Injury",1,0)</f>
        <v/>
      </c>
      <c r="R30" s="32">
        <f>IF([@Type]="Lost Time Injury",[@Date],"")</f>
        <v/>
      </c>
      <c r="S30" s="30">
        <f>IF(AND([@Status]&lt;&gt;"Closed",[@CAR_Due]&lt;&gt;"",[@CAR_Due]&lt;TODAY()),1,0)</f>
        <v/>
      </c>
      <c r="T30" s="30">
        <f>IF(AND([@Status]&lt;&gt;"Closed",[@CAR_Due]&lt;&gt;"",[@CAR_Due]&lt;TODAY()),TODAY()-[@CAR_Due],0)</f>
        <v/>
      </c>
    </row>
    <row r="31">
      <c r="A31" s="28" t="inlineStr">
        <is>
          <t>INC-0026</t>
        </is>
      </c>
      <c r="B31" s="29" t="n">
        <v>45514</v>
      </c>
      <c r="C31" s="28">
        <f>YEAR([@Date])</f>
        <v/>
      </c>
      <c r="D31" s="28">
        <f>TEXT([@Date],"mmm")</f>
        <v/>
      </c>
      <c r="E31" s="30">
        <f>MONTH([@Date])</f>
        <v/>
      </c>
      <c r="F31" s="28" t="inlineStr">
        <is>
          <t>Accommodation Camp</t>
        </is>
      </c>
      <c r="G31" s="28" t="inlineStr">
        <is>
          <t>Administration</t>
        </is>
      </c>
      <c r="H31" s="28" t="inlineStr">
        <is>
          <t>Catering Co (Camp)</t>
        </is>
      </c>
      <c r="I31" s="28" t="inlineStr">
        <is>
          <t>First Aid</t>
        </is>
      </c>
      <c r="J31" s="28" t="inlineStr">
        <is>
          <t>Occupational Illness</t>
        </is>
      </c>
      <c r="K31" s="31" t="n">
        <v>1</v>
      </c>
      <c r="L31" s="28" t="inlineStr">
        <is>
          <t>Closed</t>
        </is>
      </c>
      <c r="M31" s="29" t="n">
        <v>45515</v>
      </c>
      <c r="N31" s="29" t="n"/>
      <c r="O31" s="28" t="inlineStr">
        <is>
          <t>F. Agyeman</t>
        </is>
      </c>
      <c r="P31" s="30">
        <f>IF(OR([@Type]="Lost Time Injury",[@Type]="Restricted Work",[@Type]="Medical Treatment"),1,0)</f>
        <v/>
      </c>
      <c r="Q31" s="30">
        <f>IF([@Type]="Lost Time Injury",1,0)</f>
        <v/>
      </c>
      <c r="R31" s="32">
        <f>IF([@Type]="Lost Time Injury",[@Date],"")</f>
        <v/>
      </c>
      <c r="S31" s="30">
        <f>IF(AND([@Status]&lt;&gt;"Closed",[@CAR_Due]&lt;&gt;"",[@CAR_Due]&lt;TODAY()),1,0)</f>
        <v/>
      </c>
      <c r="T31" s="30">
        <f>IF(AND([@Status]&lt;&gt;"Closed",[@CAR_Due]&lt;&gt;"",[@CAR_Due]&lt;TODAY()),TODAY()-[@CAR_Due],0)</f>
        <v/>
      </c>
    </row>
    <row r="32">
      <c r="A32" s="28" t="inlineStr">
        <is>
          <t>INC-0027</t>
        </is>
      </c>
      <c r="B32" s="29" t="n">
        <v>45528</v>
      </c>
      <c r="C32" s="28">
        <f>YEAR([@Date])</f>
        <v/>
      </c>
      <c r="D32" s="28">
        <f>TEXT([@Date],"mmm")</f>
        <v/>
      </c>
      <c r="E32" s="30">
        <f>MONTH([@Date])</f>
        <v/>
      </c>
      <c r="F32" s="28" t="inlineStr">
        <is>
          <t>Esaase Open Pit</t>
        </is>
      </c>
      <c r="G32" s="28" t="inlineStr">
        <is>
          <t>Mining</t>
        </is>
      </c>
      <c r="H32" s="28" t="inlineStr">
        <is>
          <t>AUMS (Mining Contractor)</t>
        </is>
      </c>
      <c r="I32" s="28" t="inlineStr">
        <is>
          <t>Other</t>
        </is>
      </c>
      <c r="J32" s="28" t="inlineStr">
        <is>
          <t>Fall from Height</t>
        </is>
      </c>
      <c r="K32" s="31" t="n">
        <v>2</v>
      </c>
      <c r="L32" s="28" t="inlineStr">
        <is>
          <t>Closed</t>
        </is>
      </c>
      <c r="M32" s="29" t="n">
        <v>45528</v>
      </c>
      <c r="N32" s="29" t="n"/>
      <c r="O32" s="28" t="inlineStr">
        <is>
          <t>K. Mensah</t>
        </is>
      </c>
      <c r="P32" s="30">
        <f>IF(OR([@Type]="Lost Time Injury",[@Type]="Restricted Work",[@Type]="Medical Treatment"),1,0)</f>
        <v/>
      </c>
      <c r="Q32" s="30">
        <f>IF([@Type]="Lost Time Injury",1,0)</f>
        <v/>
      </c>
      <c r="R32" s="32">
        <f>IF([@Type]="Lost Time Injury",[@Date],"")</f>
        <v/>
      </c>
      <c r="S32" s="30">
        <f>IF(AND([@Status]&lt;&gt;"Closed",[@CAR_Due]&lt;&gt;"",[@CAR_Due]&lt;TODAY()),1,0)</f>
        <v/>
      </c>
      <c r="T32" s="30">
        <f>IF(AND([@Status]&lt;&gt;"Closed",[@CAR_Due]&lt;&gt;"",[@CAR_Due]&lt;TODAY()),TODAY()-[@CAR_Due],0)</f>
        <v/>
      </c>
    </row>
    <row r="33">
      <c r="A33" s="28" t="inlineStr">
        <is>
          <t>INC-0028</t>
        </is>
      </c>
      <c r="B33" s="29" t="n">
        <v>45558</v>
      </c>
      <c r="C33" s="28">
        <f>YEAR([@Date])</f>
        <v/>
      </c>
      <c r="D33" s="28">
        <f>TEXT([@Date],"mmm")</f>
        <v/>
      </c>
      <c r="E33" s="30">
        <f>MONTH([@Date])</f>
        <v/>
      </c>
      <c r="F33" s="28" t="inlineStr">
        <is>
          <t>Power Station</t>
        </is>
      </c>
      <c r="G33" s="28" t="inlineStr">
        <is>
          <t>Engineering</t>
        </is>
      </c>
      <c r="H33" s="28" t="inlineStr">
        <is>
          <t>Genser (Power)</t>
        </is>
      </c>
      <c r="I33" s="28" t="inlineStr">
        <is>
          <t>Other</t>
        </is>
      </c>
      <c r="J33" s="28" t="inlineStr">
        <is>
          <t>Electrical</t>
        </is>
      </c>
      <c r="K33" s="31" t="n">
        <v>1</v>
      </c>
      <c r="L33" s="28" t="inlineStr">
        <is>
          <t>Closed</t>
        </is>
      </c>
      <c r="M33" s="29" t="n">
        <v>45558</v>
      </c>
      <c r="N33" s="29" t="n"/>
      <c r="O33" s="28" t="inlineStr">
        <is>
          <t>F. Agyeman</t>
        </is>
      </c>
      <c r="P33" s="30">
        <f>IF(OR([@Type]="Lost Time Injury",[@Type]="Restricted Work",[@Type]="Medical Treatment"),1,0)</f>
        <v/>
      </c>
      <c r="Q33" s="30">
        <f>IF([@Type]="Lost Time Injury",1,0)</f>
        <v/>
      </c>
      <c r="R33" s="32">
        <f>IF([@Type]="Lost Time Injury",[@Date],"")</f>
        <v/>
      </c>
      <c r="S33" s="30">
        <f>IF(AND([@Status]&lt;&gt;"Closed",[@CAR_Due]&lt;&gt;"",[@CAR_Due]&lt;TODAY()),1,0)</f>
        <v/>
      </c>
      <c r="T33" s="30">
        <f>IF(AND([@Status]&lt;&gt;"Closed",[@CAR_Due]&lt;&gt;"",[@CAR_Due]&lt;TODAY()),TODAY()-[@CAR_Due],0)</f>
        <v/>
      </c>
    </row>
    <row r="34">
      <c r="A34" s="28" t="inlineStr">
        <is>
          <t>INC-0029</t>
        </is>
      </c>
      <c r="B34" s="29" t="n">
        <v>45541</v>
      </c>
      <c r="C34" s="28">
        <f>YEAR([@Date])</f>
        <v/>
      </c>
      <c r="D34" s="28">
        <f>TEXT([@Date],"mmm")</f>
        <v/>
      </c>
      <c r="E34" s="30">
        <f>MONTH([@Date])</f>
        <v/>
      </c>
      <c r="F34" s="28" t="inlineStr">
        <is>
          <t>Nkran Open Pit</t>
        </is>
      </c>
      <c r="G34" s="28" t="inlineStr">
        <is>
          <t>Mining</t>
        </is>
      </c>
      <c r="H34" s="28" t="inlineStr">
        <is>
          <t>AUMS (Mining Contractor)</t>
        </is>
      </c>
      <c r="I34" s="28" t="inlineStr">
        <is>
          <t>First Aid</t>
        </is>
      </c>
      <c r="J34" s="28" t="inlineStr">
        <is>
          <t>Other</t>
        </is>
      </c>
      <c r="K34" s="31" t="n">
        <v>2</v>
      </c>
      <c r="L34" s="28" t="inlineStr">
        <is>
          <t>Closed</t>
        </is>
      </c>
      <c r="M34" s="29" t="n">
        <v>45541</v>
      </c>
      <c r="N34" s="29" t="n"/>
      <c r="O34" s="28" t="inlineStr">
        <is>
          <t>P. Annan</t>
        </is>
      </c>
      <c r="P34" s="30">
        <f>IF(OR([@Type]="Lost Time Injury",[@Type]="Restricted Work",[@Type]="Medical Treatment"),1,0)</f>
        <v/>
      </c>
      <c r="Q34" s="30">
        <f>IF([@Type]="Lost Time Injury",1,0)</f>
        <v/>
      </c>
      <c r="R34" s="32">
        <f>IF([@Type]="Lost Time Injury",[@Date],"")</f>
        <v/>
      </c>
      <c r="S34" s="30">
        <f>IF(AND([@Status]&lt;&gt;"Closed",[@CAR_Due]&lt;&gt;"",[@CAR_Due]&lt;TODAY()),1,0)</f>
        <v/>
      </c>
      <c r="T34" s="30">
        <f>IF(AND([@Status]&lt;&gt;"Closed",[@CAR_Due]&lt;&gt;"",[@CAR_Due]&lt;TODAY()),TODAY()-[@CAR_Due],0)</f>
        <v/>
      </c>
    </row>
    <row r="35">
      <c r="A35" s="28" t="inlineStr">
        <is>
          <t>INC-0030</t>
        </is>
      </c>
      <c r="B35" s="29" t="n">
        <v>45544</v>
      </c>
      <c r="C35" s="28">
        <f>YEAR([@Date])</f>
        <v/>
      </c>
      <c r="D35" s="28">
        <f>TEXT([@Date],"mmm")</f>
        <v/>
      </c>
      <c r="E35" s="30">
        <f>MONTH([@Date])</f>
        <v/>
      </c>
      <c r="F35" s="28" t="inlineStr">
        <is>
          <t>Drill &amp; Blast</t>
        </is>
      </c>
      <c r="G35" s="28" t="inlineStr">
        <is>
          <t>Mining</t>
        </is>
      </c>
      <c r="H35" s="28" t="inlineStr">
        <is>
          <t>Maxam (Blasting)</t>
        </is>
      </c>
      <c r="I35" s="28" t="inlineStr">
        <is>
          <t>Medical Treatment</t>
        </is>
      </c>
      <c r="J35" s="28" t="inlineStr">
        <is>
          <t>Occupational Illness</t>
        </is>
      </c>
      <c r="K35" s="31" t="n">
        <v>1</v>
      </c>
      <c r="L35" s="28" t="inlineStr">
        <is>
          <t>Closed</t>
        </is>
      </c>
      <c r="M35" s="29" t="n">
        <v>45544</v>
      </c>
      <c r="N35" s="29" t="n">
        <v>45603</v>
      </c>
      <c r="O35" s="28" t="inlineStr">
        <is>
          <t>J. Boateng</t>
        </is>
      </c>
      <c r="P35" s="30">
        <f>IF(OR([@Type]="Lost Time Injury",[@Type]="Restricted Work",[@Type]="Medical Treatment"),1,0)</f>
        <v/>
      </c>
      <c r="Q35" s="30">
        <f>IF([@Type]="Lost Time Injury",1,0)</f>
        <v/>
      </c>
      <c r="R35" s="32">
        <f>IF([@Type]="Lost Time Injury",[@Date],"")</f>
        <v/>
      </c>
      <c r="S35" s="30">
        <f>IF(AND([@Status]&lt;&gt;"Closed",[@CAR_Due]&lt;&gt;"",[@CAR_Due]&lt;TODAY()),1,0)</f>
        <v/>
      </c>
      <c r="T35" s="30">
        <f>IF(AND([@Status]&lt;&gt;"Closed",[@CAR_Due]&lt;&gt;"",[@CAR_Due]&lt;TODAY()),TODAY()-[@CAR_Due],0)</f>
        <v/>
      </c>
    </row>
    <row r="36">
      <c r="A36" s="28" t="inlineStr">
        <is>
          <t>INC-0031</t>
        </is>
      </c>
      <c r="B36" s="29" t="n">
        <v>45548</v>
      </c>
      <c r="C36" s="28">
        <f>YEAR([@Date])</f>
        <v/>
      </c>
      <c r="D36" s="28">
        <f>TEXT([@Date],"mmm")</f>
        <v/>
      </c>
      <c r="E36" s="30">
        <f>MONTH([@Date])</f>
        <v/>
      </c>
      <c r="F36" s="28" t="inlineStr">
        <is>
          <t>Water Treatment</t>
        </is>
      </c>
      <c r="G36" s="28" t="inlineStr">
        <is>
          <t>Environment</t>
        </is>
      </c>
      <c r="H36" s="28" t="inlineStr">
        <is>
          <t>Owner (Asanko)</t>
        </is>
      </c>
      <c r="I36" s="28" t="inlineStr">
        <is>
          <t>Environmental</t>
        </is>
      </c>
      <c r="J36" s="28" t="inlineStr">
        <is>
          <t>Electrical</t>
        </is>
      </c>
      <c r="K36" s="31" t="n">
        <v>3</v>
      </c>
      <c r="L36" s="28" t="inlineStr">
        <is>
          <t>Closed</t>
        </is>
      </c>
      <c r="M36" s="29" t="n">
        <v>45548</v>
      </c>
      <c r="N36" s="29" t="n">
        <v>45563</v>
      </c>
      <c r="O36" s="28" t="inlineStr">
        <is>
          <t>K. Mensah</t>
        </is>
      </c>
      <c r="P36" s="30">
        <f>IF(OR([@Type]="Lost Time Injury",[@Type]="Restricted Work",[@Type]="Medical Treatment"),1,0)</f>
        <v/>
      </c>
      <c r="Q36" s="30">
        <f>IF([@Type]="Lost Time Injury",1,0)</f>
        <v/>
      </c>
      <c r="R36" s="32">
        <f>IF([@Type]="Lost Time Injury",[@Date],"")</f>
        <v/>
      </c>
      <c r="S36" s="30">
        <f>IF(AND([@Status]&lt;&gt;"Closed",[@CAR_Due]&lt;&gt;"",[@CAR_Due]&lt;TODAY()),1,0)</f>
        <v/>
      </c>
      <c r="T36" s="30">
        <f>IF(AND([@Status]&lt;&gt;"Closed",[@CAR_Due]&lt;&gt;"",[@CAR_Due]&lt;TODAY()),TODAY()-[@CAR_Due],0)</f>
        <v/>
      </c>
    </row>
    <row r="37">
      <c r="A37" s="28" t="inlineStr">
        <is>
          <t>INC-0032</t>
        </is>
      </c>
      <c r="B37" s="29" t="n">
        <v>45553</v>
      </c>
      <c r="C37" s="28">
        <f>YEAR([@Date])</f>
        <v/>
      </c>
      <c r="D37" s="28">
        <f>TEXT([@Date],"mmm")</f>
        <v/>
      </c>
      <c r="E37" s="30">
        <f>MONTH([@Date])</f>
        <v/>
      </c>
      <c r="F37" s="28" t="inlineStr">
        <is>
          <t>Power Station</t>
        </is>
      </c>
      <c r="G37" s="28" t="inlineStr">
        <is>
          <t>Engineering</t>
        </is>
      </c>
      <c r="H37" s="28" t="inlineStr">
        <is>
          <t>Genser (Power)</t>
        </is>
      </c>
      <c r="I37" s="28" t="inlineStr">
        <is>
          <t>First Aid</t>
        </is>
      </c>
      <c r="J37" s="28" t="inlineStr">
        <is>
          <t>Other</t>
        </is>
      </c>
      <c r="K37" s="31" t="n">
        <v>1</v>
      </c>
      <c r="L37" s="28" t="inlineStr">
        <is>
          <t>Closed</t>
        </is>
      </c>
      <c r="M37" s="29" t="n">
        <v>45555</v>
      </c>
      <c r="N37" s="29" t="n"/>
      <c r="O37" s="28" t="inlineStr">
        <is>
          <t>E. Asante</t>
        </is>
      </c>
      <c r="P37" s="30">
        <f>IF(OR([@Type]="Lost Time Injury",[@Type]="Restricted Work",[@Type]="Medical Treatment"),1,0)</f>
        <v/>
      </c>
      <c r="Q37" s="30">
        <f>IF([@Type]="Lost Time Injury",1,0)</f>
        <v/>
      </c>
      <c r="R37" s="32">
        <f>IF([@Type]="Lost Time Injury",[@Date],"")</f>
        <v/>
      </c>
      <c r="S37" s="30">
        <f>IF(AND([@Status]&lt;&gt;"Closed",[@CAR_Due]&lt;&gt;"",[@CAR_Due]&lt;TODAY()),1,0)</f>
        <v/>
      </c>
      <c r="T37" s="30">
        <f>IF(AND([@Status]&lt;&gt;"Closed",[@CAR_Due]&lt;&gt;"",[@CAR_Due]&lt;TODAY()),TODAY()-[@CAR_Due],0)</f>
        <v/>
      </c>
    </row>
    <row r="38">
      <c r="A38" s="28" t="inlineStr">
        <is>
          <t>INC-0033</t>
        </is>
      </c>
      <c r="B38" s="29" t="n">
        <v>45550</v>
      </c>
      <c r="C38" s="28">
        <f>YEAR([@Date])</f>
        <v/>
      </c>
      <c r="D38" s="28">
        <f>TEXT([@Date],"mmm")</f>
        <v/>
      </c>
      <c r="E38" s="30">
        <f>MONTH([@Date])</f>
        <v/>
      </c>
      <c r="F38" s="28" t="inlineStr">
        <is>
          <t>Drill &amp; Blast</t>
        </is>
      </c>
      <c r="G38" s="28" t="inlineStr">
        <is>
          <t>Mining</t>
        </is>
      </c>
      <c r="H38" s="28" t="inlineStr">
        <is>
          <t>Maxam (Blasting)</t>
        </is>
      </c>
      <c r="I38" s="28" t="inlineStr">
        <is>
          <t>Property Damage</t>
        </is>
      </c>
      <c r="J38" s="28" t="inlineStr">
        <is>
          <t>Slip / Trip / Fall</t>
        </is>
      </c>
      <c r="K38" s="31" t="n">
        <v>4</v>
      </c>
      <c r="L38" s="28" t="inlineStr">
        <is>
          <t>Closed</t>
        </is>
      </c>
      <c r="M38" s="29" t="n">
        <v>45551</v>
      </c>
      <c r="N38" s="29" t="n">
        <v>45578</v>
      </c>
      <c r="O38" s="28" t="inlineStr">
        <is>
          <t>K. Mensah</t>
        </is>
      </c>
      <c r="P38" s="30">
        <f>IF(OR([@Type]="Lost Time Injury",[@Type]="Restricted Work",[@Type]="Medical Treatment"),1,0)</f>
        <v/>
      </c>
      <c r="Q38" s="30">
        <f>IF([@Type]="Lost Time Injury",1,0)</f>
        <v/>
      </c>
      <c r="R38" s="32">
        <f>IF([@Type]="Lost Time Injury",[@Date],"")</f>
        <v/>
      </c>
      <c r="S38" s="30">
        <f>IF(AND([@Status]&lt;&gt;"Closed",[@CAR_Due]&lt;&gt;"",[@CAR_Due]&lt;TODAY()),1,0)</f>
        <v/>
      </c>
      <c r="T38" s="30">
        <f>IF(AND([@Status]&lt;&gt;"Closed",[@CAR_Due]&lt;&gt;"",[@CAR_Due]&lt;TODAY()),TODAY()-[@CAR_Due],0)</f>
        <v/>
      </c>
    </row>
    <row r="39">
      <c r="A39" s="28" t="inlineStr">
        <is>
          <t>INC-0034</t>
        </is>
      </c>
      <c r="B39" s="29" t="n">
        <v>45552</v>
      </c>
      <c r="C39" s="28">
        <f>YEAR([@Date])</f>
        <v/>
      </c>
      <c r="D39" s="28">
        <f>TEXT([@Date],"mmm")</f>
        <v/>
      </c>
      <c r="E39" s="30">
        <f>MONTH([@Date])</f>
        <v/>
      </c>
      <c r="F39" s="28" t="inlineStr">
        <is>
          <t>Assay Laboratory</t>
        </is>
      </c>
      <c r="G39" s="28" t="inlineStr">
        <is>
          <t>Laboratory</t>
        </is>
      </c>
      <c r="H39" s="28" t="inlineStr">
        <is>
          <t>SGS (Laboratory)</t>
        </is>
      </c>
      <c r="I39" s="28" t="inlineStr">
        <is>
          <t>Property Damage</t>
        </is>
      </c>
      <c r="J39" s="28" t="inlineStr">
        <is>
          <t>Personal Injury</t>
        </is>
      </c>
      <c r="K39" s="31" t="n">
        <v>2</v>
      </c>
      <c r="L39" s="28" t="inlineStr">
        <is>
          <t>Closed</t>
        </is>
      </c>
      <c r="M39" s="29" t="n">
        <v>45554</v>
      </c>
      <c r="N39" s="29" t="n">
        <v>45574</v>
      </c>
      <c r="O39" s="28" t="inlineStr">
        <is>
          <t>D. Tetteh</t>
        </is>
      </c>
      <c r="P39" s="30">
        <f>IF(OR([@Type]="Lost Time Injury",[@Type]="Restricted Work",[@Type]="Medical Treatment"),1,0)</f>
        <v/>
      </c>
      <c r="Q39" s="30">
        <f>IF([@Type]="Lost Time Injury",1,0)</f>
        <v/>
      </c>
      <c r="R39" s="32">
        <f>IF([@Type]="Lost Time Injury",[@Date],"")</f>
        <v/>
      </c>
      <c r="S39" s="30">
        <f>IF(AND([@Status]&lt;&gt;"Closed",[@CAR_Due]&lt;&gt;"",[@CAR_Due]&lt;TODAY()),1,0)</f>
        <v/>
      </c>
      <c r="T39" s="30">
        <f>IF(AND([@Status]&lt;&gt;"Closed",[@CAR_Due]&lt;&gt;"",[@CAR_Due]&lt;TODAY()),TODAY()-[@CAR_Due],0)</f>
        <v/>
      </c>
    </row>
    <row r="40">
      <c r="A40" s="28" t="inlineStr">
        <is>
          <t>INC-0035</t>
        </is>
      </c>
      <c r="B40" s="29" t="n">
        <v>45573</v>
      </c>
      <c r="C40" s="28">
        <f>YEAR([@Date])</f>
        <v/>
      </c>
      <c r="D40" s="28">
        <f>TEXT([@Date],"mmm")</f>
        <v/>
      </c>
      <c r="E40" s="30">
        <f>MONTH([@Date])</f>
        <v/>
      </c>
      <c r="F40" s="28" t="inlineStr">
        <is>
          <t>Tailings Storage Facility</t>
        </is>
      </c>
      <c r="G40" s="28" t="inlineStr">
        <is>
          <t>Environment</t>
        </is>
      </c>
      <c r="H40" s="28" t="inlineStr">
        <is>
          <t>Owner (Asanko)</t>
        </is>
      </c>
      <c r="I40" s="28" t="inlineStr">
        <is>
          <t>Property Damage</t>
        </is>
      </c>
      <c r="J40" s="28" t="inlineStr">
        <is>
          <t>Chemical / Cyanide Spill</t>
        </is>
      </c>
      <c r="K40" s="31" t="n">
        <v>3</v>
      </c>
      <c r="L40" s="28" t="inlineStr">
        <is>
          <t>Closed</t>
        </is>
      </c>
      <c r="M40" s="29" t="n">
        <v>45575</v>
      </c>
      <c r="N40" s="29" t="n">
        <v>45629</v>
      </c>
      <c r="O40" s="28" t="inlineStr">
        <is>
          <t>P. Annan</t>
        </is>
      </c>
      <c r="P40" s="30">
        <f>IF(OR([@Type]="Lost Time Injury",[@Type]="Restricted Work",[@Type]="Medical Treatment"),1,0)</f>
        <v/>
      </c>
      <c r="Q40" s="30">
        <f>IF([@Type]="Lost Time Injury",1,0)</f>
        <v/>
      </c>
      <c r="R40" s="32">
        <f>IF([@Type]="Lost Time Injury",[@Date],"")</f>
        <v/>
      </c>
      <c r="S40" s="30">
        <f>IF(AND([@Status]&lt;&gt;"Closed",[@CAR_Due]&lt;&gt;"",[@CAR_Due]&lt;TODAY()),1,0)</f>
        <v/>
      </c>
      <c r="T40" s="30">
        <f>IF(AND([@Status]&lt;&gt;"Closed",[@CAR_Due]&lt;&gt;"",[@CAR_Due]&lt;TODAY()),TODAY()-[@CAR_Due],0)</f>
        <v/>
      </c>
    </row>
    <row r="41">
      <c r="A41" s="28" t="inlineStr">
        <is>
          <t>INC-0036</t>
        </is>
      </c>
      <c r="B41" s="29" t="n">
        <v>45577</v>
      </c>
      <c r="C41" s="28">
        <f>YEAR([@Date])</f>
        <v/>
      </c>
      <c r="D41" s="28">
        <f>TEXT([@Date],"mmm")</f>
        <v/>
      </c>
      <c r="E41" s="30">
        <f>MONTH([@Date])</f>
        <v/>
      </c>
      <c r="F41" s="28" t="inlineStr">
        <is>
          <t>Drill &amp; Blast</t>
        </is>
      </c>
      <c r="G41" s="28" t="inlineStr">
        <is>
          <t>Mining</t>
        </is>
      </c>
      <c r="H41" s="28" t="inlineStr">
        <is>
          <t>Maxam (Blasting)</t>
        </is>
      </c>
      <c r="I41" s="28" t="inlineStr">
        <is>
          <t>First Aid</t>
        </is>
      </c>
      <c r="J41" s="28" t="inlineStr">
        <is>
          <t>Security</t>
        </is>
      </c>
      <c r="K41" s="31" t="n">
        <v>2</v>
      </c>
      <c r="L41" s="28" t="inlineStr">
        <is>
          <t>Closed</t>
        </is>
      </c>
      <c r="M41" s="29" t="n">
        <v>45579</v>
      </c>
      <c r="N41" s="29" t="n"/>
      <c r="O41" s="28" t="inlineStr">
        <is>
          <t>Y. Darko</t>
        </is>
      </c>
      <c r="P41" s="30">
        <f>IF(OR([@Type]="Lost Time Injury",[@Type]="Restricted Work",[@Type]="Medical Treatment"),1,0)</f>
        <v/>
      </c>
      <c r="Q41" s="30">
        <f>IF([@Type]="Lost Time Injury",1,0)</f>
        <v/>
      </c>
      <c r="R41" s="32">
        <f>IF([@Type]="Lost Time Injury",[@Date],"")</f>
        <v/>
      </c>
      <c r="S41" s="30">
        <f>IF(AND([@Status]&lt;&gt;"Closed",[@CAR_Due]&lt;&gt;"",[@CAR_Due]&lt;TODAY()),1,0)</f>
        <v/>
      </c>
      <c r="T41" s="30">
        <f>IF(AND([@Status]&lt;&gt;"Closed",[@CAR_Due]&lt;&gt;"",[@CAR_Due]&lt;TODAY()),TODAY()-[@CAR_Due],0)</f>
        <v/>
      </c>
    </row>
    <row r="42">
      <c r="A42" s="28" t="inlineStr">
        <is>
          <t>INC-0037</t>
        </is>
      </c>
      <c r="B42" s="29" t="n">
        <v>45592</v>
      </c>
      <c r="C42" s="28">
        <f>YEAR([@Date])</f>
        <v/>
      </c>
      <c r="D42" s="28">
        <f>TEXT([@Date],"mmm")</f>
        <v/>
      </c>
      <c r="E42" s="30">
        <f>MONTH([@Date])</f>
        <v/>
      </c>
      <c r="F42" s="28" t="inlineStr">
        <is>
          <t>Explosives Magazine</t>
        </is>
      </c>
      <c r="G42" s="28" t="inlineStr">
        <is>
          <t>Mining</t>
        </is>
      </c>
      <c r="H42" s="28" t="inlineStr">
        <is>
          <t>Maxam (Blasting)</t>
        </is>
      </c>
      <c r="I42" s="28" t="inlineStr">
        <is>
          <t>First Aid</t>
        </is>
      </c>
      <c r="J42" s="28" t="inlineStr">
        <is>
          <t>Security</t>
        </is>
      </c>
      <c r="K42" s="31" t="n">
        <v>2</v>
      </c>
      <c r="L42" s="28" t="inlineStr">
        <is>
          <t>Closed</t>
        </is>
      </c>
      <c r="M42" s="29" t="n">
        <v>45594</v>
      </c>
      <c r="N42" s="29" t="n"/>
      <c r="O42" s="28" t="inlineStr">
        <is>
          <t>K. Mensah</t>
        </is>
      </c>
      <c r="P42" s="30">
        <f>IF(OR([@Type]="Lost Time Injury",[@Type]="Restricted Work",[@Type]="Medical Treatment"),1,0)</f>
        <v/>
      </c>
      <c r="Q42" s="30">
        <f>IF([@Type]="Lost Time Injury",1,0)</f>
        <v/>
      </c>
      <c r="R42" s="32">
        <f>IF([@Type]="Lost Time Injury",[@Date],"")</f>
        <v/>
      </c>
      <c r="S42" s="30">
        <f>IF(AND([@Status]&lt;&gt;"Closed",[@CAR_Due]&lt;&gt;"",[@CAR_Due]&lt;TODAY()),1,0)</f>
        <v/>
      </c>
      <c r="T42" s="30">
        <f>IF(AND([@Status]&lt;&gt;"Closed",[@CAR_Due]&lt;&gt;"",[@CAR_Due]&lt;TODAY()),TODAY()-[@CAR_Due],0)</f>
        <v/>
      </c>
    </row>
    <row r="43">
      <c r="A43" s="28" t="inlineStr">
        <is>
          <t>INC-0038</t>
        </is>
      </c>
      <c r="B43" s="29" t="n">
        <v>45584</v>
      </c>
      <c r="C43" s="28">
        <f>YEAR([@Date])</f>
        <v/>
      </c>
      <c r="D43" s="28">
        <f>TEXT([@Date],"mmm")</f>
        <v/>
      </c>
      <c r="E43" s="30">
        <f>MONTH([@Date])</f>
        <v/>
      </c>
      <c r="F43" s="28" t="inlineStr">
        <is>
          <t>Tailings Storage Facility</t>
        </is>
      </c>
      <c r="G43" s="28" t="inlineStr">
        <is>
          <t>Environment</t>
        </is>
      </c>
      <c r="H43" s="28" t="inlineStr">
        <is>
          <t>Owner (Asanko)</t>
        </is>
      </c>
      <c r="I43" s="28" t="inlineStr">
        <is>
          <t>First Aid</t>
        </is>
      </c>
      <c r="J43" s="28" t="inlineStr">
        <is>
          <t>Chemical / Cyanide Spill</t>
        </is>
      </c>
      <c r="K43" s="31" t="n">
        <v>2</v>
      </c>
      <c r="L43" s="28" t="inlineStr">
        <is>
          <t>Closed</t>
        </is>
      </c>
      <c r="M43" s="29" t="n">
        <v>45584</v>
      </c>
      <c r="N43" s="29" t="n"/>
      <c r="O43" s="28" t="inlineStr">
        <is>
          <t>D. Tetteh</t>
        </is>
      </c>
      <c r="P43" s="30">
        <f>IF(OR([@Type]="Lost Time Injury",[@Type]="Restricted Work",[@Type]="Medical Treatment"),1,0)</f>
        <v/>
      </c>
      <c r="Q43" s="30">
        <f>IF([@Type]="Lost Time Injury",1,0)</f>
        <v/>
      </c>
      <c r="R43" s="32">
        <f>IF([@Type]="Lost Time Injury",[@Date],"")</f>
        <v/>
      </c>
      <c r="S43" s="30">
        <f>IF(AND([@Status]&lt;&gt;"Closed",[@CAR_Due]&lt;&gt;"",[@CAR_Due]&lt;TODAY()),1,0)</f>
        <v/>
      </c>
      <c r="T43" s="30">
        <f>IF(AND([@Status]&lt;&gt;"Closed",[@CAR_Due]&lt;&gt;"",[@CAR_Due]&lt;TODAY()),TODAY()-[@CAR_Due],0)</f>
        <v/>
      </c>
    </row>
    <row r="44">
      <c r="A44" s="28" t="inlineStr">
        <is>
          <t>INC-0039</t>
        </is>
      </c>
      <c r="B44" s="29" t="n">
        <v>45583</v>
      </c>
      <c r="C44" s="28">
        <f>YEAR([@Date])</f>
        <v/>
      </c>
      <c r="D44" s="28">
        <f>TEXT([@Date],"mmm")</f>
        <v/>
      </c>
      <c r="E44" s="30">
        <f>MONTH([@Date])</f>
        <v/>
      </c>
      <c r="F44" s="28" t="inlineStr">
        <is>
          <t>Accommodation Camp</t>
        </is>
      </c>
      <c r="G44" s="28" t="inlineStr">
        <is>
          <t>Administration</t>
        </is>
      </c>
      <c r="H44" s="28" t="inlineStr">
        <is>
          <t>Catering Co (Camp)</t>
        </is>
      </c>
      <c r="I44" s="28" t="inlineStr">
        <is>
          <t>First Aid</t>
        </is>
      </c>
      <c r="J44" s="28" t="inlineStr">
        <is>
          <t>Fall from Height</t>
        </is>
      </c>
      <c r="K44" s="31" t="n">
        <v>1</v>
      </c>
      <c r="L44" s="28" t="inlineStr">
        <is>
          <t>Closed</t>
        </is>
      </c>
      <c r="M44" s="29" t="n">
        <v>45583</v>
      </c>
      <c r="N44" s="29" t="n"/>
      <c r="O44" s="28" t="inlineStr">
        <is>
          <t>K. Mensah</t>
        </is>
      </c>
      <c r="P44" s="30">
        <f>IF(OR([@Type]="Lost Time Injury",[@Type]="Restricted Work",[@Type]="Medical Treatment"),1,0)</f>
        <v/>
      </c>
      <c r="Q44" s="30">
        <f>IF([@Type]="Lost Time Injury",1,0)</f>
        <v/>
      </c>
      <c r="R44" s="32">
        <f>IF([@Type]="Lost Time Injury",[@Date],"")</f>
        <v/>
      </c>
      <c r="S44" s="30">
        <f>IF(AND([@Status]&lt;&gt;"Closed",[@CAR_Due]&lt;&gt;"",[@CAR_Due]&lt;TODAY()),1,0)</f>
        <v/>
      </c>
      <c r="T44" s="30">
        <f>IF(AND([@Status]&lt;&gt;"Closed",[@CAR_Due]&lt;&gt;"",[@CAR_Due]&lt;TODAY()),TODAY()-[@CAR_Due],0)</f>
        <v/>
      </c>
    </row>
    <row r="45">
      <c r="A45" s="28" t="inlineStr">
        <is>
          <t>INC-0040</t>
        </is>
      </c>
      <c r="B45" s="29" t="n">
        <v>45567</v>
      </c>
      <c r="C45" s="28">
        <f>YEAR([@Date])</f>
        <v/>
      </c>
      <c r="D45" s="28">
        <f>TEXT([@Date],"mmm")</f>
        <v/>
      </c>
      <c r="E45" s="30">
        <f>MONTH([@Date])</f>
        <v/>
      </c>
      <c r="F45" s="28" t="inlineStr">
        <is>
          <t>Fuel Farm</t>
        </is>
      </c>
      <c r="G45" s="28" t="inlineStr">
        <is>
          <t>Engineering</t>
        </is>
      </c>
      <c r="H45" s="28" t="inlineStr">
        <is>
          <t>Owner (Asanko)</t>
        </is>
      </c>
      <c r="I45" s="28" t="inlineStr">
        <is>
          <t>First Aid</t>
        </is>
      </c>
      <c r="J45" s="28" t="inlineStr">
        <is>
          <t>Caught Between / Struck By</t>
        </is>
      </c>
      <c r="K45" s="31" t="n">
        <v>1</v>
      </c>
      <c r="L45" s="28" t="inlineStr">
        <is>
          <t>Closed</t>
        </is>
      </c>
      <c r="M45" s="29" t="n">
        <v>45568</v>
      </c>
      <c r="N45" s="29" t="n"/>
      <c r="O45" s="28" t="inlineStr">
        <is>
          <t>F. Agyeman</t>
        </is>
      </c>
      <c r="P45" s="30">
        <f>IF(OR([@Type]="Lost Time Injury",[@Type]="Restricted Work",[@Type]="Medical Treatment"),1,0)</f>
        <v/>
      </c>
      <c r="Q45" s="30">
        <f>IF([@Type]="Lost Time Injury",1,0)</f>
        <v/>
      </c>
      <c r="R45" s="32">
        <f>IF([@Type]="Lost Time Injury",[@Date],"")</f>
        <v/>
      </c>
      <c r="S45" s="30">
        <f>IF(AND([@Status]&lt;&gt;"Closed",[@CAR_Due]&lt;&gt;"",[@CAR_Due]&lt;TODAY()),1,0)</f>
        <v/>
      </c>
      <c r="T45" s="30">
        <f>IF(AND([@Status]&lt;&gt;"Closed",[@CAR_Due]&lt;&gt;"",[@CAR_Due]&lt;TODAY()),TODAY()-[@CAR_Due],0)</f>
        <v/>
      </c>
    </row>
    <row r="46">
      <c r="A46" s="28" t="inlineStr">
        <is>
          <t>INC-0041</t>
        </is>
      </c>
      <c r="B46" s="29" t="n">
        <v>45588</v>
      </c>
      <c r="C46" s="28">
        <f>YEAR([@Date])</f>
        <v/>
      </c>
      <c r="D46" s="28">
        <f>TEXT([@Date],"mmm")</f>
        <v/>
      </c>
      <c r="E46" s="30">
        <f>MONTH([@Date])</f>
        <v/>
      </c>
      <c r="F46" s="28" t="inlineStr">
        <is>
          <t>Elution &amp; Gold Room</t>
        </is>
      </c>
      <c r="G46" s="28" t="inlineStr">
        <is>
          <t>Processing</t>
        </is>
      </c>
      <c r="H46" s="28" t="inlineStr">
        <is>
          <t>Owner (Asanko)</t>
        </is>
      </c>
      <c r="I46" s="28" t="inlineStr">
        <is>
          <t>First Aid</t>
        </is>
      </c>
      <c r="J46" s="28" t="inlineStr">
        <is>
          <t>Fall from Height</t>
        </is>
      </c>
      <c r="K46" s="31" t="n">
        <v>1</v>
      </c>
      <c r="L46" s="28" t="inlineStr">
        <is>
          <t>Closed</t>
        </is>
      </c>
      <c r="M46" s="29" t="n">
        <v>45590</v>
      </c>
      <c r="N46" s="29" t="n"/>
      <c r="O46" s="28" t="inlineStr">
        <is>
          <t>K. Mensah</t>
        </is>
      </c>
      <c r="P46" s="30">
        <f>IF(OR([@Type]="Lost Time Injury",[@Type]="Restricted Work",[@Type]="Medical Treatment"),1,0)</f>
        <v/>
      </c>
      <c r="Q46" s="30">
        <f>IF([@Type]="Lost Time Injury",1,0)</f>
        <v/>
      </c>
      <c r="R46" s="32">
        <f>IF([@Type]="Lost Time Injury",[@Date],"")</f>
        <v/>
      </c>
      <c r="S46" s="30">
        <f>IF(AND([@Status]&lt;&gt;"Closed",[@CAR_Due]&lt;&gt;"",[@CAR_Due]&lt;TODAY()),1,0)</f>
        <v/>
      </c>
      <c r="T46" s="30">
        <f>IF(AND([@Status]&lt;&gt;"Closed",[@CAR_Due]&lt;&gt;"",[@CAR_Due]&lt;TODAY()),TODAY()-[@CAR_Due],0)</f>
        <v/>
      </c>
    </row>
    <row r="47">
      <c r="A47" s="28" t="inlineStr">
        <is>
          <t>INC-0042</t>
        </is>
      </c>
      <c r="B47" s="29" t="n">
        <v>45571</v>
      </c>
      <c r="C47" s="28">
        <f>YEAR([@Date])</f>
        <v/>
      </c>
      <c r="D47" s="28">
        <f>TEXT([@Date],"mmm")</f>
        <v/>
      </c>
      <c r="E47" s="30">
        <f>MONTH([@Date])</f>
        <v/>
      </c>
      <c r="F47" s="28" t="inlineStr">
        <is>
          <t>Tailings Storage Facility</t>
        </is>
      </c>
      <c r="G47" s="28" t="inlineStr">
        <is>
          <t>Environment</t>
        </is>
      </c>
      <c r="H47" s="28" t="inlineStr">
        <is>
          <t>Owner (Asanko)</t>
        </is>
      </c>
      <c r="I47" s="28" t="inlineStr">
        <is>
          <t>First Aid</t>
        </is>
      </c>
      <c r="J47" s="28" t="inlineStr">
        <is>
          <t>Fall from Height</t>
        </is>
      </c>
      <c r="K47" s="31" t="n">
        <v>1</v>
      </c>
      <c r="L47" s="28" t="inlineStr">
        <is>
          <t>Closed</t>
        </is>
      </c>
      <c r="M47" s="29" t="n">
        <v>45572</v>
      </c>
      <c r="N47" s="29" t="n"/>
      <c r="O47" s="28" t="inlineStr">
        <is>
          <t>J. Boateng</t>
        </is>
      </c>
      <c r="P47" s="30">
        <f>IF(OR([@Type]="Lost Time Injury",[@Type]="Restricted Work",[@Type]="Medical Treatment"),1,0)</f>
        <v/>
      </c>
      <c r="Q47" s="30">
        <f>IF([@Type]="Lost Time Injury",1,0)</f>
        <v/>
      </c>
      <c r="R47" s="32">
        <f>IF([@Type]="Lost Time Injury",[@Date],"")</f>
        <v/>
      </c>
      <c r="S47" s="30">
        <f>IF(AND([@Status]&lt;&gt;"Closed",[@CAR_Due]&lt;&gt;"",[@CAR_Due]&lt;TODAY()),1,0)</f>
        <v/>
      </c>
      <c r="T47" s="30">
        <f>IF(AND([@Status]&lt;&gt;"Closed",[@CAR_Due]&lt;&gt;"",[@CAR_Due]&lt;TODAY()),TODAY()-[@CAR_Due],0)</f>
        <v/>
      </c>
    </row>
    <row r="48">
      <c r="A48" s="28" t="inlineStr">
        <is>
          <t>INC-0043</t>
        </is>
      </c>
      <c r="B48" s="29" t="n">
        <v>45604</v>
      </c>
      <c r="C48" s="28">
        <f>YEAR([@Date])</f>
        <v/>
      </c>
      <c r="D48" s="28">
        <f>TEXT([@Date],"mmm")</f>
        <v/>
      </c>
      <c r="E48" s="30">
        <f>MONTH([@Date])</f>
        <v/>
      </c>
      <c r="F48" s="28" t="inlineStr">
        <is>
          <t>Nkran Open Pit</t>
        </is>
      </c>
      <c r="G48" s="28" t="inlineStr">
        <is>
          <t>Mining</t>
        </is>
      </c>
      <c r="H48" s="28" t="inlineStr">
        <is>
          <t>AUMS (Mining Contractor)</t>
        </is>
      </c>
      <c r="I48" s="28" t="inlineStr">
        <is>
          <t>Other</t>
        </is>
      </c>
      <c r="J48" s="28" t="inlineStr">
        <is>
          <t>Fall from Height</t>
        </is>
      </c>
      <c r="K48" s="31" t="n">
        <v>3</v>
      </c>
      <c r="L48" s="28" t="inlineStr">
        <is>
          <t>Closed</t>
        </is>
      </c>
      <c r="M48" s="29" t="n">
        <v>45606</v>
      </c>
      <c r="N48" s="29" t="n"/>
      <c r="O48" s="28" t="inlineStr">
        <is>
          <t>M. Quaye</t>
        </is>
      </c>
      <c r="P48" s="30">
        <f>IF(OR([@Type]="Lost Time Injury",[@Type]="Restricted Work",[@Type]="Medical Treatment"),1,0)</f>
        <v/>
      </c>
      <c r="Q48" s="30">
        <f>IF([@Type]="Lost Time Injury",1,0)</f>
        <v/>
      </c>
      <c r="R48" s="32">
        <f>IF([@Type]="Lost Time Injury",[@Date],"")</f>
        <v/>
      </c>
      <c r="S48" s="30">
        <f>IF(AND([@Status]&lt;&gt;"Closed",[@CAR_Due]&lt;&gt;"",[@CAR_Due]&lt;TODAY()),1,0)</f>
        <v/>
      </c>
      <c r="T48" s="30">
        <f>IF(AND([@Status]&lt;&gt;"Closed",[@CAR_Due]&lt;&gt;"",[@CAR_Due]&lt;TODAY()),TODAY()-[@CAR_Due],0)</f>
        <v/>
      </c>
    </row>
    <row r="49">
      <c r="A49" s="28" t="inlineStr">
        <is>
          <t>INC-0044</t>
        </is>
      </c>
      <c r="B49" s="29" t="n">
        <v>45616</v>
      </c>
      <c r="C49" s="28">
        <f>YEAR([@Date])</f>
        <v/>
      </c>
      <c r="D49" s="28">
        <f>TEXT([@Date],"mmm")</f>
        <v/>
      </c>
      <c r="E49" s="30">
        <f>MONTH([@Date])</f>
        <v/>
      </c>
      <c r="F49" s="28" t="inlineStr">
        <is>
          <t>HME Workshop</t>
        </is>
      </c>
      <c r="G49" s="28" t="inlineStr">
        <is>
          <t>Engineering</t>
        </is>
      </c>
      <c r="H49" s="28" t="inlineStr">
        <is>
          <t>Owner (Asanko)</t>
        </is>
      </c>
      <c r="I49" s="28" t="inlineStr">
        <is>
          <t>Environmental</t>
        </is>
      </c>
      <c r="J49" s="28" t="inlineStr">
        <is>
          <t>Other</t>
        </is>
      </c>
      <c r="K49" s="31" t="n">
        <v>2</v>
      </c>
      <c r="L49" s="28" t="inlineStr">
        <is>
          <t>Closed</t>
        </is>
      </c>
      <c r="M49" s="29" t="n">
        <v>45618</v>
      </c>
      <c r="N49" s="29" t="n">
        <v>45657</v>
      </c>
      <c r="O49" s="28" t="inlineStr">
        <is>
          <t>F. Agyeman</t>
        </is>
      </c>
      <c r="P49" s="30">
        <f>IF(OR([@Type]="Lost Time Injury",[@Type]="Restricted Work",[@Type]="Medical Treatment"),1,0)</f>
        <v/>
      </c>
      <c r="Q49" s="30">
        <f>IF([@Type]="Lost Time Injury",1,0)</f>
        <v/>
      </c>
      <c r="R49" s="32">
        <f>IF([@Type]="Lost Time Injury",[@Date],"")</f>
        <v/>
      </c>
      <c r="S49" s="30">
        <f>IF(AND([@Status]&lt;&gt;"Closed",[@CAR_Due]&lt;&gt;"",[@CAR_Due]&lt;TODAY()),1,0)</f>
        <v/>
      </c>
      <c r="T49" s="30">
        <f>IF(AND([@Status]&lt;&gt;"Closed",[@CAR_Due]&lt;&gt;"",[@CAR_Due]&lt;TODAY()),TODAY()-[@CAR_Due],0)</f>
        <v/>
      </c>
    </row>
    <row r="50">
      <c r="A50" s="28" t="inlineStr">
        <is>
          <t>INC-0045</t>
        </is>
      </c>
      <c r="B50" s="29" t="n">
        <v>45610</v>
      </c>
      <c r="C50" s="28">
        <f>YEAR([@Date])</f>
        <v/>
      </c>
      <c r="D50" s="28">
        <f>TEXT([@Date],"mmm")</f>
        <v/>
      </c>
      <c r="E50" s="30">
        <f>MONTH([@Date])</f>
        <v/>
      </c>
      <c r="F50" s="28" t="inlineStr">
        <is>
          <t>Administration</t>
        </is>
      </c>
      <c r="G50" s="28" t="inlineStr">
        <is>
          <t>Administration</t>
        </is>
      </c>
      <c r="H50" s="28" t="inlineStr">
        <is>
          <t>Owner (Asanko)</t>
        </is>
      </c>
      <c r="I50" s="28" t="inlineStr">
        <is>
          <t>First Aid</t>
        </is>
      </c>
      <c r="J50" s="28" t="inlineStr">
        <is>
          <t>Chemical / Cyanide Spill</t>
        </is>
      </c>
      <c r="K50" s="31" t="n">
        <v>2</v>
      </c>
      <c r="L50" s="28" t="inlineStr">
        <is>
          <t>Closed</t>
        </is>
      </c>
      <c r="M50" s="29" t="n">
        <v>45610</v>
      </c>
      <c r="N50" s="29" t="n"/>
      <c r="O50" s="28" t="inlineStr">
        <is>
          <t>P. Annan</t>
        </is>
      </c>
      <c r="P50" s="30">
        <f>IF(OR([@Type]="Lost Time Injury",[@Type]="Restricted Work",[@Type]="Medical Treatment"),1,0)</f>
        <v/>
      </c>
      <c r="Q50" s="30">
        <f>IF([@Type]="Lost Time Injury",1,0)</f>
        <v/>
      </c>
      <c r="R50" s="32">
        <f>IF([@Type]="Lost Time Injury",[@Date],"")</f>
        <v/>
      </c>
      <c r="S50" s="30">
        <f>IF(AND([@Status]&lt;&gt;"Closed",[@CAR_Due]&lt;&gt;"",[@CAR_Due]&lt;TODAY()),1,0)</f>
        <v/>
      </c>
      <c r="T50" s="30">
        <f>IF(AND([@Status]&lt;&gt;"Closed",[@CAR_Due]&lt;&gt;"",[@CAR_Due]&lt;TODAY()),TODAY()-[@CAR_Due],0)</f>
        <v/>
      </c>
    </row>
    <row r="51">
      <c r="A51" s="28" t="inlineStr">
        <is>
          <t>INC-0046</t>
        </is>
      </c>
      <c r="B51" s="29" t="n">
        <v>45607</v>
      </c>
      <c r="C51" s="28">
        <f>YEAR([@Date])</f>
        <v/>
      </c>
      <c r="D51" s="28">
        <f>TEXT([@Date],"mmm")</f>
        <v/>
      </c>
      <c r="E51" s="30">
        <f>MONTH([@Date])</f>
        <v/>
      </c>
      <c r="F51" s="28" t="inlineStr">
        <is>
          <t>Tailings Storage Facility</t>
        </is>
      </c>
      <c r="G51" s="28" t="inlineStr">
        <is>
          <t>Environment</t>
        </is>
      </c>
      <c r="H51" s="28" t="inlineStr">
        <is>
          <t>Owner (Asanko)</t>
        </is>
      </c>
      <c r="I51" s="28" t="inlineStr">
        <is>
          <t>First Aid</t>
        </is>
      </c>
      <c r="J51" s="28" t="inlineStr">
        <is>
          <t>Electrical</t>
        </is>
      </c>
      <c r="K51" s="31" t="n">
        <v>1</v>
      </c>
      <c r="L51" s="28" t="inlineStr">
        <is>
          <t>Closed</t>
        </is>
      </c>
      <c r="M51" s="29" t="n">
        <v>45608</v>
      </c>
      <c r="N51" s="29" t="n"/>
      <c r="O51" s="28" t="inlineStr">
        <is>
          <t>E. Asante</t>
        </is>
      </c>
      <c r="P51" s="30">
        <f>IF(OR([@Type]="Lost Time Injury",[@Type]="Restricted Work",[@Type]="Medical Treatment"),1,0)</f>
        <v/>
      </c>
      <c r="Q51" s="30">
        <f>IF([@Type]="Lost Time Injury",1,0)</f>
        <v/>
      </c>
      <c r="R51" s="32">
        <f>IF([@Type]="Lost Time Injury",[@Date],"")</f>
        <v/>
      </c>
      <c r="S51" s="30">
        <f>IF(AND([@Status]&lt;&gt;"Closed",[@CAR_Due]&lt;&gt;"",[@CAR_Due]&lt;TODAY()),1,0)</f>
        <v/>
      </c>
      <c r="T51" s="30">
        <f>IF(AND([@Status]&lt;&gt;"Closed",[@CAR_Due]&lt;&gt;"",[@CAR_Due]&lt;TODAY()),TODAY()-[@CAR_Due],0)</f>
        <v/>
      </c>
    </row>
    <row r="52">
      <c r="A52" s="28" t="inlineStr">
        <is>
          <t>INC-0047</t>
        </is>
      </c>
      <c r="B52" s="29" t="n">
        <v>45608</v>
      </c>
      <c r="C52" s="28">
        <f>YEAR([@Date])</f>
        <v/>
      </c>
      <c r="D52" s="28">
        <f>TEXT([@Date],"mmm")</f>
        <v/>
      </c>
      <c r="E52" s="30">
        <f>MONTH([@Date])</f>
        <v/>
      </c>
      <c r="F52" s="28" t="inlineStr">
        <is>
          <t>Elution &amp; Gold Room</t>
        </is>
      </c>
      <c r="G52" s="28" t="inlineStr">
        <is>
          <t>Processing</t>
        </is>
      </c>
      <c r="H52" s="28" t="inlineStr">
        <is>
          <t>Owner (Asanko)</t>
        </is>
      </c>
      <c r="I52" s="28" t="inlineStr">
        <is>
          <t>Environmental</t>
        </is>
      </c>
      <c r="J52" s="28" t="inlineStr">
        <is>
          <t>Security</t>
        </is>
      </c>
      <c r="K52" s="31" t="n">
        <v>2</v>
      </c>
      <c r="L52" s="28" t="inlineStr">
        <is>
          <t>Closed</t>
        </is>
      </c>
      <c r="M52" s="29" t="n">
        <v>45610</v>
      </c>
      <c r="N52" s="29" t="n">
        <v>45668</v>
      </c>
      <c r="O52" s="28" t="inlineStr">
        <is>
          <t>P. Annan</t>
        </is>
      </c>
      <c r="P52" s="30">
        <f>IF(OR([@Type]="Lost Time Injury",[@Type]="Restricted Work",[@Type]="Medical Treatment"),1,0)</f>
        <v/>
      </c>
      <c r="Q52" s="30">
        <f>IF([@Type]="Lost Time Injury",1,0)</f>
        <v/>
      </c>
      <c r="R52" s="32">
        <f>IF([@Type]="Lost Time Injury",[@Date],"")</f>
        <v/>
      </c>
      <c r="S52" s="30">
        <f>IF(AND([@Status]&lt;&gt;"Closed",[@CAR_Due]&lt;&gt;"",[@CAR_Due]&lt;TODAY()),1,0)</f>
        <v/>
      </c>
      <c r="T52" s="30">
        <f>IF(AND([@Status]&lt;&gt;"Closed",[@CAR_Due]&lt;&gt;"",[@CAR_Due]&lt;TODAY()),TODAY()-[@CAR_Due],0)</f>
        <v/>
      </c>
    </row>
    <row r="53">
      <c r="A53" s="28" t="inlineStr">
        <is>
          <t>INC-0048</t>
        </is>
      </c>
      <c r="B53" s="29" t="n">
        <v>45606</v>
      </c>
      <c r="C53" s="28">
        <f>YEAR([@Date])</f>
        <v/>
      </c>
      <c r="D53" s="28">
        <f>TEXT([@Date],"mmm")</f>
        <v/>
      </c>
      <c r="E53" s="30">
        <f>MONTH([@Date])</f>
        <v/>
      </c>
      <c r="F53" s="28" t="inlineStr">
        <is>
          <t>Power Station</t>
        </is>
      </c>
      <c r="G53" s="28" t="inlineStr">
        <is>
          <t>Engineering</t>
        </is>
      </c>
      <c r="H53" s="28" t="inlineStr">
        <is>
          <t>Genser (Power)</t>
        </is>
      </c>
      <c r="I53" s="28" t="inlineStr">
        <is>
          <t>Property Damage</t>
        </is>
      </c>
      <c r="J53" s="28" t="inlineStr">
        <is>
          <t>Fall from Height</t>
        </is>
      </c>
      <c r="K53" s="31" t="n">
        <v>3</v>
      </c>
      <c r="L53" s="28" t="inlineStr">
        <is>
          <t>Closed</t>
        </is>
      </c>
      <c r="M53" s="29" t="n">
        <v>45607</v>
      </c>
      <c r="N53" s="29" t="n">
        <v>45651</v>
      </c>
      <c r="O53" s="28" t="inlineStr">
        <is>
          <t>Y. Darko</t>
        </is>
      </c>
      <c r="P53" s="30">
        <f>IF(OR([@Type]="Lost Time Injury",[@Type]="Restricted Work",[@Type]="Medical Treatment"),1,0)</f>
        <v/>
      </c>
      <c r="Q53" s="30">
        <f>IF([@Type]="Lost Time Injury",1,0)</f>
        <v/>
      </c>
      <c r="R53" s="32">
        <f>IF([@Type]="Lost Time Injury",[@Date],"")</f>
        <v/>
      </c>
      <c r="S53" s="30">
        <f>IF(AND([@Status]&lt;&gt;"Closed",[@CAR_Due]&lt;&gt;"",[@CAR_Due]&lt;TODAY()),1,0)</f>
        <v/>
      </c>
      <c r="T53" s="30">
        <f>IF(AND([@Status]&lt;&gt;"Closed",[@CAR_Due]&lt;&gt;"",[@CAR_Due]&lt;TODAY()),TODAY()-[@CAR_Due],0)</f>
        <v/>
      </c>
    </row>
    <row r="54">
      <c r="A54" s="28" t="inlineStr">
        <is>
          <t>INC-0049</t>
        </is>
      </c>
      <c r="B54" s="29" t="n">
        <v>45649</v>
      </c>
      <c r="C54" s="28">
        <f>YEAR([@Date])</f>
        <v/>
      </c>
      <c r="D54" s="28">
        <f>TEXT([@Date],"mmm")</f>
        <v/>
      </c>
      <c r="E54" s="30">
        <f>MONTH([@Date])</f>
        <v/>
      </c>
      <c r="F54" s="28" t="inlineStr">
        <is>
          <t>HME Workshop</t>
        </is>
      </c>
      <c r="G54" s="28" t="inlineStr">
        <is>
          <t>Engineering</t>
        </is>
      </c>
      <c r="H54" s="28" t="inlineStr">
        <is>
          <t>Owner (Asanko)</t>
        </is>
      </c>
      <c r="I54" s="28" t="inlineStr">
        <is>
          <t>First Aid</t>
        </is>
      </c>
      <c r="J54" s="28" t="inlineStr">
        <is>
          <t>Occupational Illness</t>
        </is>
      </c>
      <c r="K54" s="31" t="n">
        <v>3</v>
      </c>
      <c r="L54" s="28" t="inlineStr">
        <is>
          <t>Closed</t>
        </is>
      </c>
      <c r="M54" s="29" t="n">
        <v>45651</v>
      </c>
      <c r="N54" s="29" t="n"/>
      <c r="O54" s="28" t="inlineStr">
        <is>
          <t>A. Owusu</t>
        </is>
      </c>
      <c r="P54" s="30">
        <f>IF(OR([@Type]="Lost Time Injury",[@Type]="Restricted Work",[@Type]="Medical Treatment"),1,0)</f>
        <v/>
      </c>
      <c r="Q54" s="30">
        <f>IF([@Type]="Lost Time Injury",1,0)</f>
        <v/>
      </c>
      <c r="R54" s="32">
        <f>IF([@Type]="Lost Time Injury",[@Date],"")</f>
        <v/>
      </c>
      <c r="S54" s="30">
        <f>IF(AND([@Status]&lt;&gt;"Closed",[@CAR_Due]&lt;&gt;"",[@CAR_Due]&lt;TODAY()),1,0)</f>
        <v/>
      </c>
      <c r="T54" s="30">
        <f>IF(AND([@Status]&lt;&gt;"Closed",[@CAR_Due]&lt;&gt;"",[@CAR_Due]&lt;TODAY()),TODAY()-[@CAR_Due],0)</f>
        <v/>
      </c>
    </row>
    <row r="55">
      <c r="A55" s="28" t="inlineStr">
        <is>
          <t>INC-0050</t>
        </is>
      </c>
      <c r="B55" s="29" t="n">
        <v>45657</v>
      </c>
      <c r="C55" s="28">
        <f>YEAR([@Date])</f>
        <v/>
      </c>
      <c r="D55" s="28">
        <f>TEXT([@Date],"mmm")</f>
        <v/>
      </c>
      <c r="E55" s="30">
        <f>MONTH([@Date])</f>
        <v/>
      </c>
      <c r="F55" s="28" t="inlineStr">
        <is>
          <t>Warehouse &amp; Stores</t>
        </is>
      </c>
      <c r="G55" s="28" t="inlineStr">
        <is>
          <t>Logistics</t>
        </is>
      </c>
      <c r="H55" s="28" t="inlineStr">
        <is>
          <t>Owner (Asanko)</t>
        </is>
      </c>
      <c r="I55" s="28" t="inlineStr">
        <is>
          <t>Property Damage</t>
        </is>
      </c>
      <c r="J55" s="28" t="inlineStr">
        <is>
          <t>Chemical / Cyanide Spill</t>
        </is>
      </c>
      <c r="K55" s="31" t="n">
        <v>3</v>
      </c>
      <c r="L55" s="28" t="inlineStr">
        <is>
          <t>Closed</t>
        </is>
      </c>
      <c r="M55" s="29" t="n">
        <v>45659</v>
      </c>
      <c r="N55" s="29" t="n">
        <v>45677</v>
      </c>
      <c r="O55" s="28" t="inlineStr">
        <is>
          <t>M. Quaye</t>
        </is>
      </c>
      <c r="P55" s="30">
        <f>IF(OR([@Type]="Lost Time Injury",[@Type]="Restricted Work",[@Type]="Medical Treatment"),1,0)</f>
        <v/>
      </c>
      <c r="Q55" s="30">
        <f>IF([@Type]="Lost Time Injury",1,0)</f>
        <v/>
      </c>
      <c r="R55" s="32">
        <f>IF([@Type]="Lost Time Injury",[@Date],"")</f>
        <v/>
      </c>
      <c r="S55" s="30">
        <f>IF(AND([@Status]&lt;&gt;"Closed",[@CAR_Due]&lt;&gt;"",[@CAR_Due]&lt;TODAY()),1,0)</f>
        <v/>
      </c>
      <c r="T55" s="30">
        <f>IF(AND([@Status]&lt;&gt;"Closed",[@CAR_Due]&lt;&gt;"",[@CAR_Due]&lt;TODAY()),TODAY()-[@CAR_Due],0)</f>
        <v/>
      </c>
    </row>
    <row r="56">
      <c r="A56" s="28" t="inlineStr">
        <is>
          <t>INC-0051</t>
        </is>
      </c>
      <c r="B56" s="29" t="n">
        <v>45632</v>
      </c>
      <c r="C56" s="28">
        <f>YEAR([@Date])</f>
        <v/>
      </c>
      <c r="D56" s="28">
        <f>TEXT([@Date],"mmm")</f>
        <v/>
      </c>
      <c r="E56" s="30">
        <f>MONTH([@Date])</f>
        <v/>
      </c>
      <c r="F56" s="28" t="inlineStr">
        <is>
          <t>Assay Laboratory</t>
        </is>
      </c>
      <c r="G56" s="28" t="inlineStr">
        <is>
          <t>Laboratory</t>
        </is>
      </c>
      <c r="H56" s="28" t="inlineStr">
        <is>
          <t>SGS (Laboratory)</t>
        </is>
      </c>
      <c r="I56" s="28" t="inlineStr">
        <is>
          <t>First Aid</t>
        </is>
      </c>
      <c r="J56" s="28" t="inlineStr">
        <is>
          <t>Personal Injury</t>
        </is>
      </c>
      <c r="K56" s="31" t="n">
        <v>2</v>
      </c>
      <c r="L56" s="28" t="inlineStr">
        <is>
          <t>Closed</t>
        </is>
      </c>
      <c r="M56" s="29" t="n">
        <v>45632</v>
      </c>
      <c r="N56" s="29" t="n"/>
      <c r="O56" s="28" t="inlineStr">
        <is>
          <t>Y. Darko</t>
        </is>
      </c>
      <c r="P56" s="30">
        <f>IF(OR([@Type]="Lost Time Injury",[@Type]="Restricted Work",[@Type]="Medical Treatment"),1,0)</f>
        <v/>
      </c>
      <c r="Q56" s="30">
        <f>IF([@Type]="Lost Time Injury",1,0)</f>
        <v/>
      </c>
      <c r="R56" s="32">
        <f>IF([@Type]="Lost Time Injury",[@Date],"")</f>
        <v/>
      </c>
      <c r="S56" s="30">
        <f>IF(AND([@Status]&lt;&gt;"Closed",[@CAR_Due]&lt;&gt;"",[@CAR_Due]&lt;TODAY()),1,0)</f>
        <v/>
      </c>
      <c r="T56" s="30">
        <f>IF(AND([@Status]&lt;&gt;"Closed",[@CAR_Due]&lt;&gt;"",[@CAR_Due]&lt;TODAY()),TODAY()-[@CAR_Due],0)</f>
        <v/>
      </c>
    </row>
    <row r="57">
      <c r="A57" s="28" t="inlineStr">
        <is>
          <t>INC-0052</t>
        </is>
      </c>
      <c r="B57" s="29" t="n">
        <v>45641</v>
      </c>
      <c r="C57" s="28">
        <f>YEAR([@Date])</f>
        <v/>
      </c>
      <c r="D57" s="28">
        <f>TEXT([@Date],"mmm")</f>
        <v/>
      </c>
      <c r="E57" s="30">
        <f>MONTH([@Date])</f>
        <v/>
      </c>
      <c r="F57" s="28" t="inlineStr">
        <is>
          <t>Tailings Storage Facility</t>
        </is>
      </c>
      <c r="G57" s="28" t="inlineStr">
        <is>
          <t>Environment</t>
        </is>
      </c>
      <c r="H57" s="28" t="inlineStr">
        <is>
          <t>Owner (Asanko)</t>
        </is>
      </c>
      <c r="I57" s="28" t="inlineStr">
        <is>
          <t>Property Damage</t>
        </is>
      </c>
      <c r="J57" s="28" t="inlineStr">
        <is>
          <t>Fire / Explosion</t>
        </is>
      </c>
      <c r="K57" s="31" t="n">
        <v>3</v>
      </c>
      <c r="L57" s="28" t="inlineStr">
        <is>
          <t>Closed</t>
        </is>
      </c>
      <c r="M57" s="29" t="n">
        <v>45643</v>
      </c>
      <c r="N57" s="29" t="n">
        <v>45694</v>
      </c>
      <c r="O57" s="28" t="inlineStr">
        <is>
          <t>Y. Darko</t>
        </is>
      </c>
      <c r="P57" s="30">
        <f>IF(OR([@Type]="Lost Time Injury",[@Type]="Restricted Work",[@Type]="Medical Treatment"),1,0)</f>
        <v/>
      </c>
      <c r="Q57" s="30">
        <f>IF([@Type]="Lost Time Injury",1,0)</f>
        <v/>
      </c>
      <c r="R57" s="32">
        <f>IF([@Type]="Lost Time Injury",[@Date],"")</f>
        <v/>
      </c>
      <c r="S57" s="30">
        <f>IF(AND([@Status]&lt;&gt;"Closed",[@CAR_Due]&lt;&gt;"",[@CAR_Due]&lt;TODAY()),1,0)</f>
        <v/>
      </c>
      <c r="T57" s="30">
        <f>IF(AND([@Status]&lt;&gt;"Closed",[@CAR_Due]&lt;&gt;"",[@CAR_Due]&lt;TODAY()),TODAY()-[@CAR_Due],0)</f>
        <v/>
      </c>
    </row>
    <row r="58">
      <c r="A58" s="28" t="inlineStr">
        <is>
          <t>INC-0053</t>
        </is>
      </c>
      <c r="B58" s="29" t="n">
        <v>45655</v>
      </c>
      <c r="C58" s="28">
        <f>YEAR([@Date])</f>
        <v/>
      </c>
      <c r="D58" s="28">
        <f>TEXT([@Date],"mmm")</f>
        <v/>
      </c>
      <c r="E58" s="30">
        <f>MONTH([@Date])</f>
        <v/>
      </c>
      <c r="F58" s="28" t="inlineStr">
        <is>
          <t>Drill &amp; Blast</t>
        </is>
      </c>
      <c r="G58" s="28" t="inlineStr">
        <is>
          <t>Mining</t>
        </is>
      </c>
      <c r="H58" s="28" t="inlineStr">
        <is>
          <t>Maxam (Blasting)</t>
        </is>
      </c>
      <c r="I58" s="28" t="inlineStr">
        <is>
          <t>First Aid</t>
        </is>
      </c>
      <c r="J58" s="28" t="inlineStr">
        <is>
          <t>Occupational Illness</t>
        </is>
      </c>
      <c r="K58" s="31" t="n">
        <v>1</v>
      </c>
      <c r="L58" s="28" t="inlineStr">
        <is>
          <t>Closed</t>
        </is>
      </c>
      <c r="M58" s="29" t="n">
        <v>45657</v>
      </c>
      <c r="N58" s="29" t="n"/>
      <c r="O58" s="28" t="inlineStr">
        <is>
          <t>M. Quaye</t>
        </is>
      </c>
      <c r="P58" s="30">
        <f>IF(OR([@Type]="Lost Time Injury",[@Type]="Restricted Work",[@Type]="Medical Treatment"),1,0)</f>
        <v/>
      </c>
      <c r="Q58" s="30">
        <f>IF([@Type]="Lost Time Injury",1,0)</f>
        <v/>
      </c>
      <c r="R58" s="32">
        <f>IF([@Type]="Lost Time Injury",[@Date],"")</f>
        <v/>
      </c>
      <c r="S58" s="30">
        <f>IF(AND([@Status]&lt;&gt;"Closed",[@CAR_Due]&lt;&gt;"",[@CAR_Due]&lt;TODAY()),1,0)</f>
        <v/>
      </c>
      <c r="T58" s="30">
        <f>IF(AND([@Status]&lt;&gt;"Closed",[@CAR_Due]&lt;&gt;"",[@CAR_Due]&lt;TODAY()),TODAY()-[@CAR_Due],0)</f>
        <v/>
      </c>
    </row>
    <row r="59">
      <c r="A59" s="28" t="inlineStr">
        <is>
          <t>INC-0054</t>
        </is>
      </c>
      <c r="B59" s="29" t="n">
        <v>45649</v>
      </c>
      <c r="C59" s="28">
        <f>YEAR([@Date])</f>
        <v/>
      </c>
      <c r="D59" s="28">
        <f>TEXT([@Date],"mmm")</f>
        <v/>
      </c>
      <c r="E59" s="30">
        <f>MONTH([@Date])</f>
        <v/>
      </c>
      <c r="F59" s="28" t="inlineStr">
        <is>
          <t>Elution &amp; Gold Room</t>
        </is>
      </c>
      <c r="G59" s="28" t="inlineStr">
        <is>
          <t>Processing</t>
        </is>
      </c>
      <c r="H59" s="28" t="inlineStr">
        <is>
          <t>Owner (Asanko)</t>
        </is>
      </c>
      <c r="I59" s="28" t="inlineStr">
        <is>
          <t>Environmental</t>
        </is>
      </c>
      <c r="J59" s="28" t="inlineStr">
        <is>
          <t>Environmental Release</t>
        </is>
      </c>
      <c r="K59" s="31" t="n">
        <v>3</v>
      </c>
      <c r="L59" s="28" t="inlineStr">
        <is>
          <t>Closed</t>
        </is>
      </c>
      <c r="M59" s="29" t="n">
        <v>45650</v>
      </c>
      <c r="N59" s="29" t="n">
        <v>45702</v>
      </c>
      <c r="O59" s="28" t="inlineStr">
        <is>
          <t>S. Addo</t>
        </is>
      </c>
      <c r="P59" s="30">
        <f>IF(OR([@Type]="Lost Time Injury",[@Type]="Restricted Work",[@Type]="Medical Treatment"),1,0)</f>
        <v/>
      </c>
      <c r="Q59" s="30">
        <f>IF([@Type]="Lost Time Injury",1,0)</f>
        <v/>
      </c>
      <c r="R59" s="32">
        <f>IF([@Type]="Lost Time Injury",[@Date],"")</f>
        <v/>
      </c>
      <c r="S59" s="30">
        <f>IF(AND([@Status]&lt;&gt;"Closed",[@CAR_Due]&lt;&gt;"",[@CAR_Due]&lt;TODAY()),1,0)</f>
        <v/>
      </c>
      <c r="T59" s="30">
        <f>IF(AND([@Status]&lt;&gt;"Closed",[@CAR_Due]&lt;&gt;"",[@CAR_Due]&lt;TODAY()),TODAY()-[@CAR_Due],0)</f>
        <v/>
      </c>
    </row>
    <row r="60">
      <c r="A60" s="28" t="inlineStr">
        <is>
          <t>INC-0055</t>
        </is>
      </c>
      <c r="B60" s="29" t="n">
        <v>45636</v>
      </c>
      <c r="C60" s="28">
        <f>YEAR([@Date])</f>
        <v/>
      </c>
      <c r="D60" s="28">
        <f>TEXT([@Date],"mmm")</f>
        <v/>
      </c>
      <c r="E60" s="30">
        <f>MONTH([@Date])</f>
        <v/>
      </c>
      <c r="F60" s="28" t="inlineStr">
        <is>
          <t>Explosives Magazine</t>
        </is>
      </c>
      <c r="G60" s="28" t="inlineStr">
        <is>
          <t>Mining</t>
        </is>
      </c>
      <c r="H60" s="28" t="inlineStr">
        <is>
          <t>Maxam (Blasting)</t>
        </is>
      </c>
      <c r="I60" s="28" t="inlineStr">
        <is>
          <t>First Aid</t>
        </is>
      </c>
      <c r="J60" s="28" t="inlineStr">
        <is>
          <t>Occupational Illness</t>
        </is>
      </c>
      <c r="K60" s="31" t="n">
        <v>1</v>
      </c>
      <c r="L60" s="28" t="inlineStr">
        <is>
          <t>Closed</t>
        </is>
      </c>
      <c r="M60" s="29" t="n">
        <v>45636</v>
      </c>
      <c r="N60" s="29" t="n"/>
      <c r="O60" s="28" t="inlineStr">
        <is>
          <t>D. Tetteh</t>
        </is>
      </c>
      <c r="P60" s="30">
        <f>IF(OR([@Type]="Lost Time Injury",[@Type]="Restricted Work",[@Type]="Medical Treatment"),1,0)</f>
        <v/>
      </c>
      <c r="Q60" s="30">
        <f>IF([@Type]="Lost Time Injury",1,0)</f>
        <v/>
      </c>
      <c r="R60" s="32">
        <f>IF([@Type]="Lost Time Injury",[@Date],"")</f>
        <v/>
      </c>
      <c r="S60" s="30">
        <f>IF(AND([@Status]&lt;&gt;"Closed",[@CAR_Due]&lt;&gt;"",[@CAR_Due]&lt;TODAY()),1,0)</f>
        <v/>
      </c>
      <c r="T60" s="30">
        <f>IF(AND([@Status]&lt;&gt;"Closed",[@CAR_Due]&lt;&gt;"",[@CAR_Due]&lt;TODAY()),TODAY()-[@CAR_Due],0)</f>
        <v/>
      </c>
    </row>
    <row r="61">
      <c r="A61" s="28" t="inlineStr">
        <is>
          <t>INC-0056</t>
        </is>
      </c>
      <c r="B61" s="29" t="n">
        <v>45640</v>
      </c>
      <c r="C61" s="28">
        <f>YEAR([@Date])</f>
        <v/>
      </c>
      <c r="D61" s="28">
        <f>TEXT([@Date],"mmm")</f>
        <v/>
      </c>
      <c r="E61" s="30">
        <f>MONTH([@Date])</f>
        <v/>
      </c>
      <c r="F61" s="28" t="inlineStr">
        <is>
          <t>Water Treatment</t>
        </is>
      </c>
      <c r="G61" s="28" t="inlineStr">
        <is>
          <t>Environment</t>
        </is>
      </c>
      <c r="H61" s="28" t="inlineStr">
        <is>
          <t>Owner (Asanko)</t>
        </is>
      </c>
      <c r="I61" s="28" t="inlineStr">
        <is>
          <t>First Aid</t>
        </is>
      </c>
      <c r="J61" s="28" t="inlineStr">
        <is>
          <t>Fall from Height</t>
        </is>
      </c>
      <c r="K61" s="31" t="n">
        <v>2</v>
      </c>
      <c r="L61" s="28" t="inlineStr">
        <is>
          <t>Closed</t>
        </is>
      </c>
      <c r="M61" s="29" t="n">
        <v>45640</v>
      </c>
      <c r="N61" s="29" t="n"/>
      <c r="O61" s="28" t="inlineStr">
        <is>
          <t>E. Asante</t>
        </is>
      </c>
      <c r="P61" s="30">
        <f>IF(OR([@Type]="Lost Time Injury",[@Type]="Restricted Work",[@Type]="Medical Treatment"),1,0)</f>
        <v/>
      </c>
      <c r="Q61" s="30">
        <f>IF([@Type]="Lost Time Injury",1,0)</f>
        <v/>
      </c>
      <c r="R61" s="32">
        <f>IF([@Type]="Lost Time Injury",[@Date],"")</f>
        <v/>
      </c>
      <c r="S61" s="30">
        <f>IF(AND([@Status]&lt;&gt;"Closed",[@CAR_Due]&lt;&gt;"",[@CAR_Due]&lt;TODAY()),1,0)</f>
        <v/>
      </c>
      <c r="T61" s="30">
        <f>IF(AND([@Status]&lt;&gt;"Closed",[@CAR_Due]&lt;&gt;"",[@CAR_Due]&lt;TODAY()),TODAY()-[@CAR_Due],0)</f>
        <v/>
      </c>
    </row>
    <row r="62">
      <c r="A62" s="28" t="inlineStr">
        <is>
          <t>INC-0057</t>
        </is>
      </c>
      <c r="B62" s="29" t="n">
        <v>45680</v>
      </c>
      <c r="C62" s="28">
        <f>YEAR([@Date])</f>
        <v/>
      </c>
      <c r="D62" s="28">
        <f>TEXT([@Date],"mmm")</f>
        <v/>
      </c>
      <c r="E62" s="30">
        <f>MONTH([@Date])</f>
        <v/>
      </c>
      <c r="F62" s="28" t="inlineStr">
        <is>
          <t>Warehouse &amp; Stores</t>
        </is>
      </c>
      <c r="G62" s="28" t="inlineStr">
        <is>
          <t>Logistics</t>
        </is>
      </c>
      <c r="H62" s="28" t="inlineStr">
        <is>
          <t>Owner (Asanko)</t>
        </is>
      </c>
      <c r="I62" s="28" t="inlineStr">
        <is>
          <t>Medical Treatment</t>
        </is>
      </c>
      <c r="J62" s="28" t="inlineStr">
        <is>
          <t>Slip / Trip / Fall</t>
        </is>
      </c>
      <c r="K62" s="31" t="n">
        <v>1</v>
      </c>
      <c r="L62" s="28" t="inlineStr">
        <is>
          <t>Closed</t>
        </is>
      </c>
      <c r="M62" s="29" t="n">
        <v>45682</v>
      </c>
      <c r="N62" s="29" t="n">
        <v>45741</v>
      </c>
      <c r="O62" s="28" t="inlineStr">
        <is>
          <t>E. Asante</t>
        </is>
      </c>
      <c r="P62" s="30">
        <f>IF(OR([@Type]="Lost Time Injury",[@Type]="Restricted Work",[@Type]="Medical Treatment"),1,0)</f>
        <v/>
      </c>
      <c r="Q62" s="30">
        <f>IF([@Type]="Lost Time Injury",1,0)</f>
        <v/>
      </c>
      <c r="R62" s="32">
        <f>IF([@Type]="Lost Time Injury",[@Date],"")</f>
        <v/>
      </c>
      <c r="S62" s="30">
        <f>IF(AND([@Status]&lt;&gt;"Closed",[@CAR_Due]&lt;&gt;"",[@CAR_Due]&lt;TODAY()),1,0)</f>
        <v/>
      </c>
      <c r="T62" s="30">
        <f>IF(AND([@Status]&lt;&gt;"Closed",[@CAR_Due]&lt;&gt;"",[@CAR_Due]&lt;TODAY()),TODAY()-[@CAR_Due],0)</f>
        <v/>
      </c>
    </row>
    <row r="63">
      <c r="A63" s="28" t="inlineStr">
        <is>
          <t>INC-0058</t>
        </is>
      </c>
      <c r="B63" s="29" t="n">
        <v>45680</v>
      </c>
      <c r="C63" s="28">
        <f>YEAR([@Date])</f>
        <v/>
      </c>
      <c r="D63" s="28">
        <f>TEXT([@Date],"mmm")</f>
        <v/>
      </c>
      <c r="E63" s="30">
        <f>MONTH([@Date])</f>
        <v/>
      </c>
      <c r="F63" s="28" t="inlineStr">
        <is>
          <t>Elution &amp; Gold Room</t>
        </is>
      </c>
      <c r="G63" s="28" t="inlineStr">
        <is>
          <t>Processing</t>
        </is>
      </c>
      <c r="H63" s="28" t="inlineStr">
        <is>
          <t>Owner (Asanko)</t>
        </is>
      </c>
      <c r="I63" s="28" t="inlineStr">
        <is>
          <t>First Aid</t>
        </is>
      </c>
      <c r="J63" s="28" t="inlineStr">
        <is>
          <t>Vehicle / Mobile Equipment</t>
        </is>
      </c>
      <c r="K63" s="31" t="n">
        <v>3</v>
      </c>
      <c r="L63" s="28" t="inlineStr">
        <is>
          <t>Closed</t>
        </is>
      </c>
      <c r="M63" s="29" t="n">
        <v>45682</v>
      </c>
      <c r="N63" s="29" t="n"/>
      <c r="O63" s="28" t="inlineStr">
        <is>
          <t>D. Tetteh</t>
        </is>
      </c>
      <c r="P63" s="30">
        <f>IF(OR([@Type]="Lost Time Injury",[@Type]="Restricted Work",[@Type]="Medical Treatment"),1,0)</f>
        <v/>
      </c>
      <c r="Q63" s="30">
        <f>IF([@Type]="Lost Time Injury",1,0)</f>
        <v/>
      </c>
      <c r="R63" s="32">
        <f>IF([@Type]="Lost Time Injury",[@Date],"")</f>
        <v/>
      </c>
      <c r="S63" s="30">
        <f>IF(AND([@Status]&lt;&gt;"Closed",[@CAR_Due]&lt;&gt;"",[@CAR_Due]&lt;TODAY()),1,0)</f>
        <v/>
      </c>
      <c r="T63" s="30">
        <f>IF(AND([@Status]&lt;&gt;"Closed",[@CAR_Due]&lt;&gt;"",[@CAR_Due]&lt;TODAY()),TODAY()-[@CAR_Due],0)</f>
        <v/>
      </c>
    </row>
    <row r="64">
      <c r="A64" s="28" t="inlineStr">
        <is>
          <t>INC-0059</t>
        </is>
      </c>
      <c r="B64" s="29" t="n">
        <v>45685</v>
      </c>
      <c r="C64" s="28">
        <f>YEAR([@Date])</f>
        <v/>
      </c>
      <c r="D64" s="28">
        <f>TEXT([@Date],"mmm")</f>
        <v/>
      </c>
      <c r="E64" s="30">
        <f>MONTH([@Date])</f>
        <v/>
      </c>
      <c r="F64" s="28" t="inlineStr">
        <is>
          <t>Nkran Open Pit</t>
        </is>
      </c>
      <c r="G64" s="28" t="inlineStr">
        <is>
          <t>Mining</t>
        </is>
      </c>
      <c r="H64" s="28" t="inlineStr">
        <is>
          <t>AUMS (Mining Contractor)</t>
        </is>
      </c>
      <c r="I64" s="28" t="inlineStr">
        <is>
          <t>First Aid</t>
        </is>
      </c>
      <c r="J64" s="28" t="inlineStr">
        <is>
          <t>Occupational Illness</t>
        </is>
      </c>
      <c r="K64" s="31" t="n">
        <v>2</v>
      </c>
      <c r="L64" s="28" t="inlineStr">
        <is>
          <t>Closed</t>
        </is>
      </c>
      <c r="M64" s="29" t="n">
        <v>45685</v>
      </c>
      <c r="N64" s="29" t="n"/>
      <c r="O64" s="28" t="inlineStr">
        <is>
          <t>K. Mensah</t>
        </is>
      </c>
      <c r="P64" s="30">
        <f>IF(OR([@Type]="Lost Time Injury",[@Type]="Restricted Work",[@Type]="Medical Treatment"),1,0)</f>
        <v/>
      </c>
      <c r="Q64" s="30">
        <f>IF([@Type]="Lost Time Injury",1,0)</f>
        <v/>
      </c>
      <c r="R64" s="32">
        <f>IF([@Type]="Lost Time Injury",[@Date],"")</f>
        <v/>
      </c>
      <c r="S64" s="30">
        <f>IF(AND([@Status]&lt;&gt;"Closed",[@CAR_Due]&lt;&gt;"",[@CAR_Due]&lt;TODAY()),1,0)</f>
        <v/>
      </c>
      <c r="T64" s="30">
        <f>IF(AND([@Status]&lt;&gt;"Closed",[@CAR_Due]&lt;&gt;"",[@CAR_Due]&lt;TODAY()),TODAY()-[@CAR_Due],0)</f>
        <v/>
      </c>
    </row>
    <row r="65">
      <c r="A65" s="28" t="inlineStr">
        <is>
          <t>INC-0060</t>
        </is>
      </c>
      <c r="B65" s="29" t="n">
        <v>45679</v>
      </c>
      <c r="C65" s="28">
        <f>YEAR([@Date])</f>
        <v/>
      </c>
      <c r="D65" s="28">
        <f>TEXT([@Date],"mmm")</f>
        <v/>
      </c>
      <c r="E65" s="30">
        <f>MONTH([@Date])</f>
        <v/>
      </c>
      <c r="F65" s="28" t="inlineStr">
        <is>
          <t>HME Workshop</t>
        </is>
      </c>
      <c r="G65" s="28" t="inlineStr">
        <is>
          <t>Engineering</t>
        </is>
      </c>
      <c r="H65" s="28" t="inlineStr">
        <is>
          <t>Owner (Asanko)</t>
        </is>
      </c>
      <c r="I65" s="28" t="inlineStr">
        <is>
          <t>Property Damage</t>
        </is>
      </c>
      <c r="J65" s="28" t="inlineStr">
        <is>
          <t>Fire / Explosion</t>
        </is>
      </c>
      <c r="K65" s="31" t="n">
        <v>2</v>
      </c>
      <c r="L65" s="28" t="inlineStr">
        <is>
          <t>Under Investigation</t>
        </is>
      </c>
      <c r="M65" s="29" t="n">
        <v>45681</v>
      </c>
      <c r="N65" s="29" t="n">
        <v>45706</v>
      </c>
      <c r="O65" s="28" t="inlineStr">
        <is>
          <t>P. Annan</t>
        </is>
      </c>
      <c r="P65" s="30">
        <f>IF(OR([@Type]="Lost Time Injury",[@Type]="Restricted Work",[@Type]="Medical Treatment"),1,0)</f>
        <v/>
      </c>
      <c r="Q65" s="30">
        <f>IF([@Type]="Lost Time Injury",1,0)</f>
        <v/>
      </c>
      <c r="R65" s="32">
        <f>IF([@Type]="Lost Time Injury",[@Date],"")</f>
        <v/>
      </c>
      <c r="S65" s="30">
        <f>IF(AND([@Status]&lt;&gt;"Closed",[@CAR_Due]&lt;&gt;"",[@CAR_Due]&lt;TODAY()),1,0)</f>
        <v/>
      </c>
      <c r="T65" s="30">
        <f>IF(AND([@Status]&lt;&gt;"Closed",[@CAR_Due]&lt;&gt;"",[@CAR_Due]&lt;TODAY()),TODAY()-[@CAR_Due],0)</f>
        <v/>
      </c>
    </row>
    <row r="66">
      <c r="A66" s="28" t="inlineStr">
        <is>
          <t>INC-0061</t>
        </is>
      </c>
      <c r="B66" s="29" t="n">
        <v>45658</v>
      </c>
      <c r="C66" s="28">
        <f>YEAR([@Date])</f>
        <v/>
      </c>
      <c r="D66" s="28">
        <f>TEXT([@Date],"mmm")</f>
        <v/>
      </c>
      <c r="E66" s="30">
        <f>MONTH([@Date])</f>
        <v/>
      </c>
      <c r="F66" s="28" t="inlineStr">
        <is>
          <t>Drill &amp; Blast</t>
        </is>
      </c>
      <c r="G66" s="28" t="inlineStr">
        <is>
          <t>Mining</t>
        </is>
      </c>
      <c r="H66" s="28" t="inlineStr">
        <is>
          <t>Maxam (Blasting)</t>
        </is>
      </c>
      <c r="I66" s="28" t="inlineStr">
        <is>
          <t>Environmental</t>
        </is>
      </c>
      <c r="J66" s="28" t="inlineStr">
        <is>
          <t>Personal Injury</t>
        </is>
      </c>
      <c r="K66" s="31" t="n">
        <v>2</v>
      </c>
      <c r="L66" s="28" t="inlineStr">
        <is>
          <t>Closed</t>
        </is>
      </c>
      <c r="M66" s="29" t="n">
        <v>45660</v>
      </c>
      <c r="N66" s="29" t="n">
        <v>45716</v>
      </c>
      <c r="O66" s="28" t="inlineStr">
        <is>
          <t>K. Mensah</t>
        </is>
      </c>
      <c r="P66" s="30">
        <f>IF(OR([@Type]="Lost Time Injury",[@Type]="Restricted Work",[@Type]="Medical Treatment"),1,0)</f>
        <v/>
      </c>
      <c r="Q66" s="30">
        <f>IF([@Type]="Lost Time Injury",1,0)</f>
        <v/>
      </c>
      <c r="R66" s="32">
        <f>IF([@Type]="Lost Time Injury",[@Date],"")</f>
        <v/>
      </c>
      <c r="S66" s="30">
        <f>IF(AND([@Status]&lt;&gt;"Closed",[@CAR_Due]&lt;&gt;"",[@CAR_Due]&lt;TODAY()),1,0)</f>
        <v/>
      </c>
      <c r="T66" s="30">
        <f>IF(AND([@Status]&lt;&gt;"Closed",[@CAR_Due]&lt;&gt;"",[@CAR_Due]&lt;TODAY()),TODAY()-[@CAR_Due],0)</f>
        <v/>
      </c>
    </row>
    <row r="67">
      <c r="A67" s="28" t="inlineStr">
        <is>
          <t>INC-0062</t>
        </is>
      </c>
      <c r="B67" s="29" t="n">
        <v>45688</v>
      </c>
      <c r="C67" s="28">
        <f>YEAR([@Date])</f>
        <v/>
      </c>
      <c r="D67" s="28">
        <f>TEXT([@Date],"mmm")</f>
        <v/>
      </c>
      <c r="E67" s="30">
        <f>MONTH([@Date])</f>
        <v/>
      </c>
      <c r="F67" s="28" t="inlineStr">
        <is>
          <t>Nkran Open Pit</t>
        </is>
      </c>
      <c r="G67" s="28" t="inlineStr">
        <is>
          <t>Mining</t>
        </is>
      </c>
      <c r="H67" s="28" t="inlineStr">
        <is>
          <t>AUMS (Mining Contractor)</t>
        </is>
      </c>
      <c r="I67" s="28" t="inlineStr">
        <is>
          <t>First Aid</t>
        </is>
      </c>
      <c r="J67" s="28" t="inlineStr">
        <is>
          <t>Chemical / Cyanide Spill</t>
        </is>
      </c>
      <c r="K67" s="31" t="n">
        <v>2</v>
      </c>
      <c r="L67" s="28" t="inlineStr">
        <is>
          <t>Closed</t>
        </is>
      </c>
      <c r="M67" s="29" t="n">
        <v>45690</v>
      </c>
      <c r="N67" s="29" t="n"/>
      <c r="O67" s="28" t="inlineStr">
        <is>
          <t>F. Agyeman</t>
        </is>
      </c>
      <c r="P67" s="30">
        <f>IF(OR([@Type]="Lost Time Injury",[@Type]="Restricted Work",[@Type]="Medical Treatment"),1,0)</f>
        <v/>
      </c>
      <c r="Q67" s="30">
        <f>IF([@Type]="Lost Time Injury",1,0)</f>
        <v/>
      </c>
      <c r="R67" s="32">
        <f>IF([@Type]="Lost Time Injury",[@Date],"")</f>
        <v/>
      </c>
      <c r="S67" s="30">
        <f>IF(AND([@Status]&lt;&gt;"Closed",[@CAR_Due]&lt;&gt;"",[@CAR_Due]&lt;TODAY()),1,0)</f>
        <v/>
      </c>
      <c r="T67" s="30">
        <f>IF(AND([@Status]&lt;&gt;"Closed",[@CAR_Due]&lt;&gt;"",[@CAR_Due]&lt;TODAY()),TODAY()-[@CAR_Due],0)</f>
        <v/>
      </c>
    </row>
    <row r="68">
      <c r="A68" s="28" t="inlineStr">
        <is>
          <t>INC-0063</t>
        </is>
      </c>
      <c r="B68" s="29" t="n">
        <v>45659</v>
      </c>
      <c r="C68" s="28">
        <f>YEAR([@Date])</f>
        <v/>
      </c>
      <c r="D68" s="28">
        <f>TEXT([@Date],"mmm")</f>
        <v/>
      </c>
      <c r="E68" s="30">
        <f>MONTH([@Date])</f>
        <v/>
      </c>
      <c r="F68" s="28" t="inlineStr">
        <is>
          <t>Explosives Magazine</t>
        </is>
      </c>
      <c r="G68" s="28" t="inlineStr">
        <is>
          <t>Mining</t>
        </is>
      </c>
      <c r="H68" s="28" t="inlineStr">
        <is>
          <t>Maxam (Blasting)</t>
        </is>
      </c>
      <c r="I68" s="28" t="inlineStr">
        <is>
          <t>Environmental</t>
        </is>
      </c>
      <c r="J68" s="28" t="inlineStr">
        <is>
          <t>Environmental Release</t>
        </is>
      </c>
      <c r="K68" s="31" t="n">
        <v>4</v>
      </c>
      <c r="L68" s="28" t="inlineStr">
        <is>
          <t>Closed</t>
        </is>
      </c>
      <c r="M68" s="29" t="n">
        <v>45659</v>
      </c>
      <c r="N68" s="29" t="n">
        <v>45709</v>
      </c>
      <c r="O68" s="28" t="inlineStr">
        <is>
          <t>F. Agyeman</t>
        </is>
      </c>
      <c r="P68" s="30">
        <f>IF(OR([@Type]="Lost Time Injury",[@Type]="Restricted Work",[@Type]="Medical Treatment"),1,0)</f>
        <v/>
      </c>
      <c r="Q68" s="30">
        <f>IF([@Type]="Lost Time Injury",1,0)</f>
        <v/>
      </c>
      <c r="R68" s="32">
        <f>IF([@Type]="Lost Time Injury",[@Date],"")</f>
        <v/>
      </c>
      <c r="S68" s="30">
        <f>IF(AND([@Status]&lt;&gt;"Closed",[@CAR_Due]&lt;&gt;"",[@CAR_Due]&lt;TODAY()),1,0)</f>
        <v/>
      </c>
      <c r="T68" s="30">
        <f>IF(AND([@Status]&lt;&gt;"Closed",[@CAR_Due]&lt;&gt;"",[@CAR_Due]&lt;TODAY()),TODAY()-[@CAR_Due],0)</f>
        <v/>
      </c>
    </row>
    <row r="69">
      <c r="A69" s="28" t="inlineStr">
        <is>
          <t>INC-0064</t>
        </is>
      </c>
      <c r="B69" s="29" t="n">
        <v>45659</v>
      </c>
      <c r="C69" s="28">
        <f>YEAR([@Date])</f>
        <v/>
      </c>
      <c r="D69" s="28">
        <f>TEXT([@Date],"mmm")</f>
        <v/>
      </c>
      <c r="E69" s="30">
        <f>MONTH([@Date])</f>
        <v/>
      </c>
      <c r="F69" s="28" t="inlineStr">
        <is>
          <t>Tailings Storage Facility</t>
        </is>
      </c>
      <c r="G69" s="28" t="inlineStr">
        <is>
          <t>Environment</t>
        </is>
      </c>
      <c r="H69" s="28" t="inlineStr">
        <is>
          <t>Owner (Asanko)</t>
        </is>
      </c>
      <c r="I69" s="28" t="inlineStr">
        <is>
          <t>First Aid</t>
        </is>
      </c>
      <c r="J69" s="28" t="inlineStr">
        <is>
          <t>Fall from Height</t>
        </is>
      </c>
      <c r="K69" s="31" t="n">
        <v>1</v>
      </c>
      <c r="L69" s="28" t="inlineStr">
        <is>
          <t>Closed</t>
        </is>
      </c>
      <c r="M69" s="29" t="n">
        <v>45661</v>
      </c>
      <c r="N69" s="29" t="n"/>
      <c r="O69" s="28" t="inlineStr">
        <is>
          <t>Y. Darko</t>
        </is>
      </c>
      <c r="P69" s="30">
        <f>IF(OR([@Type]="Lost Time Injury",[@Type]="Restricted Work",[@Type]="Medical Treatment"),1,0)</f>
        <v/>
      </c>
      <c r="Q69" s="30">
        <f>IF([@Type]="Lost Time Injury",1,0)</f>
        <v/>
      </c>
      <c r="R69" s="32">
        <f>IF([@Type]="Lost Time Injury",[@Date],"")</f>
        <v/>
      </c>
      <c r="S69" s="30">
        <f>IF(AND([@Status]&lt;&gt;"Closed",[@CAR_Due]&lt;&gt;"",[@CAR_Due]&lt;TODAY()),1,0)</f>
        <v/>
      </c>
      <c r="T69" s="30">
        <f>IF(AND([@Status]&lt;&gt;"Closed",[@CAR_Due]&lt;&gt;"",[@CAR_Due]&lt;TODAY()),TODAY()-[@CAR_Due],0)</f>
        <v/>
      </c>
    </row>
    <row r="70">
      <c r="A70" s="28" t="inlineStr">
        <is>
          <t>INC-0065</t>
        </is>
      </c>
      <c r="B70" s="29" t="n">
        <v>45683</v>
      </c>
      <c r="C70" s="28">
        <f>YEAR([@Date])</f>
        <v/>
      </c>
      <c r="D70" s="28">
        <f>TEXT([@Date],"mmm")</f>
        <v/>
      </c>
      <c r="E70" s="30">
        <f>MONTH([@Date])</f>
        <v/>
      </c>
      <c r="F70" s="28" t="inlineStr">
        <is>
          <t>HME Workshop</t>
        </is>
      </c>
      <c r="G70" s="28" t="inlineStr">
        <is>
          <t>Engineering</t>
        </is>
      </c>
      <c r="H70" s="28" t="inlineStr">
        <is>
          <t>Owner (Asanko)</t>
        </is>
      </c>
      <c r="I70" s="28" t="inlineStr">
        <is>
          <t>Other</t>
        </is>
      </c>
      <c r="J70" s="28" t="inlineStr">
        <is>
          <t>Personal Injury</t>
        </is>
      </c>
      <c r="K70" s="31" t="n">
        <v>1</v>
      </c>
      <c r="L70" s="28" t="inlineStr">
        <is>
          <t>Closed</t>
        </is>
      </c>
      <c r="M70" s="29" t="n">
        <v>45685</v>
      </c>
      <c r="N70" s="29" t="n"/>
      <c r="O70" s="28" t="inlineStr">
        <is>
          <t>J. Boateng</t>
        </is>
      </c>
      <c r="P70" s="30">
        <f>IF(OR([@Type]="Lost Time Injury",[@Type]="Restricted Work",[@Type]="Medical Treatment"),1,0)</f>
        <v/>
      </c>
      <c r="Q70" s="30">
        <f>IF([@Type]="Lost Time Injury",1,0)</f>
        <v/>
      </c>
      <c r="R70" s="32">
        <f>IF([@Type]="Lost Time Injury",[@Date],"")</f>
        <v/>
      </c>
      <c r="S70" s="30">
        <f>IF(AND([@Status]&lt;&gt;"Closed",[@CAR_Due]&lt;&gt;"",[@CAR_Due]&lt;TODAY()),1,0)</f>
        <v/>
      </c>
      <c r="T70" s="30">
        <f>IF(AND([@Status]&lt;&gt;"Closed",[@CAR_Due]&lt;&gt;"",[@CAR_Due]&lt;TODAY()),TODAY()-[@CAR_Due],0)</f>
        <v/>
      </c>
    </row>
    <row r="71">
      <c r="A71" s="28" t="inlineStr">
        <is>
          <t>INC-0066</t>
        </is>
      </c>
      <c r="B71" s="29" t="n">
        <v>45680</v>
      </c>
      <c r="C71" s="28">
        <f>YEAR([@Date])</f>
        <v/>
      </c>
      <c r="D71" s="28">
        <f>TEXT([@Date],"mmm")</f>
        <v/>
      </c>
      <c r="E71" s="30">
        <f>MONTH([@Date])</f>
        <v/>
      </c>
      <c r="F71" s="28" t="inlineStr">
        <is>
          <t>Esaase Open Pit</t>
        </is>
      </c>
      <c r="G71" s="28" t="inlineStr">
        <is>
          <t>Mining</t>
        </is>
      </c>
      <c r="H71" s="28" t="inlineStr">
        <is>
          <t>AUMS (Mining Contractor)</t>
        </is>
      </c>
      <c r="I71" s="28" t="inlineStr">
        <is>
          <t>Other</t>
        </is>
      </c>
      <c r="J71" s="28" t="inlineStr">
        <is>
          <t>Personal Injury</t>
        </is>
      </c>
      <c r="K71" s="31" t="n">
        <v>2</v>
      </c>
      <c r="L71" s="28" t="inlineStr">
        <is>
          <t>Closed</t>
        </is>
      </c>
      <c r="M71" s="29" t="n">
        <v>45681</v>
      </c>
      <c r="N71" s="29" t="n"/>
      <c r="O71" s="28" t="inlineStr">
        <is>
          <t>K. Mensah</t>
        </is>
      </c>
      <c r="P71" s="30">
        <f>IF(OR([@Type]="Lost Time Injury",[@Type]="Restricted Work",[@Type]="Medical Treatment"),1,0)</f>
        <v/>
      </c>
      <c r="Q71" s="30">
        <f>IF([@Type]="Lost Time Injury",1,0)</f>
        <v/>
      </c>
      <c r="R71" s="32">
        <f>IF([@Type]="Lost Time Injury",[@Date],"")</f>
        <v/>
      </c>
      <c r="S71" s="30">
        <f>IF(AND([@Status]&lt;&gt;"Closed",[@CAR_Due]&lt;&gt;"",[@CAR_Due]&lt;TODAY()),1,0)</f>
        <v/>
      </c>
      <c r="T71" s="30">
        <f>IF(AND([@Status]&lt;&gt;"Closed",[@CAR_Due]&lt;&gt;"",[@CAR_Due]&lt;TODAY()),TODAY()-[@CAR_Due],0)</f>
        <v/>
      </c>
    </row>
    <row r="72">
      <c r="A72" s="28" t="inlineStr">
        <is>
          <t>INC-0067</t>
        </is>
      </c>
      <c r="B72" s="29" t="n">
        <v>45695</v>
      </c>
      <c r="C72" s="28">
        <f>YEAR([@Date])</f>
        <v/>
      </c>
      <c r="D72" s="28">
        <f>TEXT([@Date],"mmm")</f>
        <v/>
      </c>
      <c r="E72" s="30">
        <f>MONTH([@Date])</f>
        <v/>
      </c>
      <c r="F72" s="28" t="inlineStr">
        <is>
          <t>Nkran Open Pit</t>
        </is>
      </c>
      <c r="G72" s="28" t="inlineStr">
        <is>
          <t>Mining</t>
        </is>
      </c>
      <c r="H72" s="28" t="inlineStr">
        <is>
          <t>AUMS (Mining Contractor)</t>
        </is>
      </c>
      <c r="I72" s="28" t="inlineStr">
        <is>
          <t>Property Damage</t>
        </is>
      </c>
      <c r="J72" s="28" t="inlineStr">
        <is>
          <t>Fall from Height</t>
        </is>
      </c>
      <c r="K72" s="31" t="n">
        <v>2</v>
      </c>
      <c r="L72" s="28" t="inlineStr">
        <is>
          <t>Closed</t>
        </is>
      </c>
      <c r="M72" s="29" t="n">
        <v>45697</v>
      </c>
      <c r="N72" s="29" t="n">
        <v>45730</v>
      </c>
      <c r="O72" s="28" t="inlineStr">
        <is>
          <t>Y. Darko</t>
        </is>
      </c>
      <c r="P72" s="30">
        <f>IF(OR([@Type]="Lost Time Injury",[@Type]="Restricted Work",[@Type]="Medical Treatment"),1,0)</f>
        <v/>
      </c>
      <c r="Q72" s="30">
        <f>IF([@Type]="Lost Time Injury",1,0)</f>
        <v/>
      </c>
      <c r="R72" s="32">
        <f>IF([@Type]="Lost Time Injury",[@Date],"")</f>
        <v/>
      </c>
      <c r="S72" s="30">
        <f>IF(AND([@Status]&lt;&gt;"Closed",[@CAR_Due]&lt;&gt;"",[@CAR_Due]&lt;TODAY()),1,0)</f>
        <v/>
      </c>
      <c r="T72" s="30">
        <f>IF(AND([@Status]&lt;&gt;"Closed",[@CAR_Due]&lt;&gt;"",[@CAR_Due]&lt;TODAY()),TODAY()-[@CAR_Due],0)</f>
        <v/>
      </c>
    </row>
    <row r="73">
      <c r="A73" s="28" t="inlineStr">
        <is>
          <t>INC-0068</t>
        </is>
      </c>
      <c r="B73" s="29" t="n">
        <v>45693</v>
      </c>
      <c r="C73" s="28">
        <f>YEAR([@Date])</f>
        <v/>
      </c>
      <c r="D73" s="28">
        <f>TEXT([@Date],"mmm")</f>
        <v/>
      </c>
      <c r="E73" s="30">
        <f>MONTH([@Date])</f>
        <v/>
      </c>
      <c r="F73" s="28" t="inlineStr">
        <is>
          <t>Fuel Farm</t>
        </is>
      </c>
      <c r="G73" s="28" t="inlineStr">
        <is>
          <t>Engineering</t>
        </is>
      </c>
      <c r="H73" s="28" t="inlineStr">
        <is>
          <t>Owner (Asanko)</t>
        </is>
      </c>
      <c r="I73" s="28" t="inlineStr">
        <is>
          <t>Property Damage</t>
        </is>
      </c>
      <c r="J73" s="28" t="inlineStr">
        <is>
          <t>Vehicle / Mobile Equipment</t>
        </is>
      </c>
      <c r="K73" s="31" t="n">
        <v>4</v>
      </c>
      <c r="L73" s="28" t="inlineStr">
        <is>
          <t>Closed</t>
        </is>
      </c>
      <c r="M73" s="29" t="n">
        <v>45693</v>
      </c>
      <c r="N73" s="29" t="n">
        <v>45739</v>
      </c>
      <c r="O73" s="28" t="inlineStr">
        <is>
          <t>D. Tetteh</t>
        </is>
      </c>
      <c r="P73" s="30">
        <f>IF(OR([@Type]="Lost Time Injury",[@Type]="Restricted Work",[@Type]="Medical Treatment"),1,0)</f>
        <v/>
      </c>
      <c r="Q73" s="30">
        <f>IF([@Type]="Lost Time Injury",1,0)</f>
        <v/>
      </c>
      <c r="R73" s="32">
        <f>IF([@Type]="Lost Time Injury",[@Date],"")</f>
        <v/>
      </c>
      <c r="S73" s="30">
        <f>IF(AND([@Status]&lt;&gt;"Closed",[@CAR_Due]&lt;&gt;"",[@CAR_Due]&lt;TODAY()),1,0)</f>
        <v/>
      </c>
      <c r="T73" s="30">
        <f>IF(AND([@Status]&lt;&gt;"Closed",[@CAR_Due]&lt;&gt;"",[@CAR_Due]&lt;TODAY()),TODAY()-[@CAR_Due],0)</f>
        <v/>
      </c>
    </row>
    <row r="74">
      <c r="A74" s="28" t="inlineStr">
        <is>
          <t>INC-0069</t>
        </is>
      </c>
      <c r="B74" s="29" t="n">
        <v>45715</v>
      </c>
      <c r="C74" s="28">
        <f>YEAR([@Date])</f>
        <v/>
      </c>
      <c r="D74" s="28">
        <f>TEXT([@Date],"mmm")</f>
        <v/>
      </c>
      <c r="E74" s="30">
        <f>MONTH([@Date])</f>
        <v/>
      </c>
      <c r="F74" s="28" t="inlineStr">
        <is>
          <t>Tailings Storage Facility</t>
        </is>
      </c>
      <c r="G74" s="28" t="inlineStr">
        <is>
          <t>Environment</t>
        </is>
      </c>
      <c r="H74" s="28" t="inlineStr">
        <is>
          <t>Owner (Asanko)</t>
        </is>
      </c>
      <c r="I74" s="28" t="inlineStr">
        <is>
          <t>First Aid</t>
        </is>
      </c>
      <c r="J74" s="28" t="inlineStr">
        <is>
          <t>Caught Between / Struck By</t>
        </is>
      </c>
      <c r="K74" s="31" t="n">
        <v>1</v>
      </c>
      <c r="L74" s="28" t="inlineStr">
        <is>
          <t>Closed</t>
        </is>
      </c>
      <c r="M74" s="29" t="n">
        <v>45715</v>
      </c>
      <c r="N74" s="29" t="n"/>
      <c r="O74" s="28" t="inlineStr">
        <is>
          <t>P. Annan</t>
        </is>
      </c>
      <c r="P74" s="30">
        <f>IF(OR([@Type]="Lost Time Injury",[@Type]="Restricted Work",[@Type]="Medical Treatment"),1,0)</f>
        <v/>
      </c>
      <c r="Q74" s="30">
        <f>IF([@Type]="Lost Time Injury",1,0)</f>
        <v/>
      </c>
      <c r="R74" s="32">
        <f>IF([@Type]="Lost Time Injury",[@Date],"")</f>
        <v/>
      </c>
      <c r="S74" s="30">
        <f>IF(AND([@Status]&lt;&gt;"Closed",[@CAR_Due]&lt;&gt;"",[@CAR_Due]&lt;TODAY()),1,0)</f>
        <v/>
      </c>
      <c r="T74" s="30">
        <f>IF(AND([@Status]&lt;&gt;"Closed",[@CAR_Due]&lt;&gt;"",[@CAR_Due]&lt;TODAY()),TODAY()-[@CAR_Due],0)</f>
        <v/>
      </c>
    </row>
    <row r="75">
      <c r="A75" s="28" t="inlineStr">
        <is>
          <t>INC-0070</t>
        </is>
      </c>
      <c r="B75" s="29" t="n">
        <v>45706</v>
      </c>
      <c r="C75" s="28">
        <f>YEAR([@Date])</f>
        <v/>
      </c>
      <c r="D75" s="28">
        <f>TEXT([@Date],"mmm")</f>
        <v/>
      </c>
      <c r="E75" s="30">
        <f>MONTH([@Date])</f>
        <v/>
      </c>
      <c r="F75" s="28" t="inlineStr">
        <is>
          <t>Warehouse &amp; Stores</t>
        </is>
      </c>
      <c r="G75" s="28" t="inlineStr">
        <is>
          <t>Logistics</t>
        </is>
      </c>
      <c r="H75" s="28" t="inlineStr">
        <is>
          <t>Owner (Asanko)</t>
        </is>
      </c>
      <c r="I75" s="28" t="inlineStr">
        <is>
          <t>Property Damage</t>
        </is>
      </c>
      <c r="J75" s="28" t="inlineStr">
        <is>
          <t>Other</t>
        </is>
      </c>
      <c r="K75" s="31" t="n">
        <v>3</v>
      </c>
      <c r="L75" s="28" t="inlineStr">
        <is>
          <t>Closed</t>
        </is>
      </c>
      <c r="M75" s="29" t="n">
        <v>45706</v>
      </c>
      <c r="N75" s="29" t="n">
        <v>45739</v>
      </c>
      <c r="O75" s="28" t="inlineStr">
        <is>
          <t>Y. Darko</t>
        </is>
      </c>
      <c r="P75" s="30">
        <f>IF(OR([@Type]="Lost Time Injury",[@Type]="Restricted Work",[@Type]="Medical Treatment"),1,0)</f>
        <v/>
      </c>
      <c r="Q75" s="30">
        <f>IF([@Type]="Lost Time Injury",1,0)</f>
        <v/>
      </c>
      <c r="R75" s="32">
        <f>IF([@Type]="Lost Time Injury",[@Date],"")</f>
        <v/>
      </c>
      <c r="S75" s="30">
        <f>IF(AND([@Status]&lt;&gt;"Closed",[@CAR_Due]&lt;&gt;"",[@CAR_Due]&lt;TODAY()),1,0)</f>
        <v/>
      </c>
      <c r="T75" s="30">
        <f>IF(AND([@Status]&lt;&gt;"Closed",[@CAR_Due]&lt;&gt;"",[@CAR_Due]&lt;TODAY()),TODAY()-[@CAR_Due],0)</f>
        <v/>
      </c>
    </row>
    <row r="76">
      <c r="A76" s="28" t="inlineStr">
        <is>
          <t>INC-0071</t>
        </is>
      </c>
      <c r="B76" s="29" t="n">
        <v>45697</v>
      </c>
      <c r="C76" s="28">
        <f>YEAR([@Date])</f>
        <v/>
      </c>
      <c r="D76" s="28">
        <f>TEXT([@Date],"mmm")</f>
        <v/>
      </c>
      <c r="E76" s="30">
        <f>MONTH([@Date])</f>
        <v/>
      </c>
      <c r="F76" s="28" t="inlineStr">
        <is>
          <t>Assay Laboratory</t>
        </is>
      </c>
      <c r="G76" s="28" t="inlineStr">
        <is>
          <t>Laboratory</t>
        </is>
      </c>
      <c r="H76" s="28" t="inlineStr">
        <is>
          <t>SGS (Laboratory)</t>
        </is>
      </c>
      <c r="I76" s="28" t="inlineStr">
        <is>
          <t>Medical Treatment</t>
        </is>
      </c>
      <c r="J76" s="28" t="inlineStr">
        <is>
          <t>Occupational Illness</t>
        </is>
      </c>
      <c r="K76" s="31" t="n">
        <v>1</v>
      </c>
      <c r="L76" s="28" t="inlineStr">
        <is>
          <t>Closed</t>
        </is>
      </c>
      <c r="M76" s="29" t="n">
        <v>45698</v>
      </c>
      <c r="N76" s="29" t="n">
        <v>45734</v>
      </c>
      <c r="O76" s="28" t="inlineStr">
        <is>
          <t>Y. Darko</t>
        </is>
      </c>
      <c r="P76" s="30">
        <f>IF(OR([@Type]="Lost Time Injury",[@Type]="Restricted Work",[@Type]="Medical Treatment"),1,0)</f>
        <v/>
      </c>
      <c r="Q76" s="30">
        <f>IF([@Type]="Lost Time Injury",1,0)</f>
        <v/>
      </c>
      <c r="R76" s="32">
        <f>IF([@Type]="Lost Time Injury",[@Date],"")</f>
        <v/>
      </c>
      <c r="S76" s="30">
        <f>IF(AND([@Status]&lt;&gt;"Closed",[@CAR_Due]&lt;&gt;"",[@CAR_Due]&lt;TODAY()),1,0)</f>
        <v/>
      </c>
      <c r="T76" s="30">
        <f>IF(AND([@Status]&lt;&gt;"Closed",[@CAR_Due]&lt;&gt;"",[@CAR_Due]&lt;TODAY()),TODAY()-[@CAR_Due],0)</f>
        <v/>
      </c>
    </row>
    <row r="77">
      <c r="A77" s="28" t="inlineStr">
        <is>
          <t>INC-0072</t>
        </is>
      </c>
      <c r="B77" s="29" t="n">
        <v>45704</v>
      </c>
      <c r="C77" s="28">
        <f>YEAR([@Date])</f>
        <v/>
      </c>
      <c r="D77" s="28">
        <f>TEXT([@Date],"mmm")</f>
        <v/>
      </c>
      <c r="E77" s="30">
        <f>MONTH([@Date])</f>
        <v/>
      </c>
      <c r="F77" s="28" t="inlineStr">
        <is>
          <t>Processing Plant (CIL)</t>
        </is>
      </c>
      <c r="G77" s="28" t="inlineStr">
        <is>
          <t>Processing</t>
        </is>
      </c>
      <c r="H77" s="28" t="inlineStr">
        <is>
          <t>Owner (Asanko)</t>
        </is>
      </c>
      <c r="I77" s="28" t="inlineStr">
        <is>
          <t>Environmental</t>
        </is>
      </c>
      <c r="J77" s="28" t="inlineStr">
        <is>
          <t>Fire / Explosion</t>
        </is>
      </c>
      <c r="K77" s="31" t="n">
        <v>3</v>
      </c>
      <c r="L77" s="28" t="inlineStr">
        <is>
          <t>Closed</t>
        </is>
      </c>
      <c r="M77" s="29" t="n">
        <v>45705</v>
      </c>
      <c r="N77" s="29" t="n">
        <v>45749</v>
      </c>
      <c r="O77" s="28" t="inlineStr">
        <is>
          <t>M. Quaye</t>
        </is>
      </c>
      <c r="P77" s="30">
        <f>IF(OR([@Type]="Lost Time Injury",[@Type]="Restricted Work",[@Type]="Medical Treatment"),1,0)</f>
        <v/>
      </c>
      <c r="Q77" s="30">
        <f>IF([@Type]="Lost Time Injury",1,0)</f>
        <v/>
      </c>
      <c r="R77" s="32">
        <f>IF([@Type]="Lost Time Injury",[@Date],"")</f>
        <v/>
      </c>
      <c r="S77" s="30">
        <f>IF(AND([@Status]&lt;&gt;"Closed",[@CAR_Due]&lt;&gt;"",[@CAR_Due]&lt;TODAY()),1,0)</f>
        <v/>
      </c>
      <c r="T77" s="30">
        <f>IF(AND([@Status]&lt;&gt;"Closed",[@CAR_Due]&lt;&gt;"",[@CAR_Due]&lt;TODAY()),TODAY()-[@CAR_Due],0)</f>
        <v/>
      </c>
    </row>
    <row r="78">
      <c r="A78" s="28" t="inlineStr">
        <is>
          <t>INC-0073</t>
        </is>
      </c>
      <c r="B78" s="29" t="n">
        <v>45704</v>
      </c>
      <c r="C78" s="28">
        <f>YEAR([@Date])</f>
        <v/>
      </c>
      <c r="D78" s="28">
        <f>TEXT([@Date],"mmm")</f>
        <v/>
      </c>
      <c r="E78" s="30">
        <f>MONTH([@Date])</f>
        <v/>
      </c>
      <c r="F78" s="28" t="inlineStr">
        <is>
          <t>Processing Plant (CIL)</t>
        </is>
      </c>
      <c r="G78" s="28" t="inlineStr">
        <is>
          <t>Processing</t>
        </is>
      </c>
      <c r="H78" s="28" t="inlineStr">
        <is>
          <t>Owner (Asanko)</t>
        </is>
      </c>
      <c r="I78" s="28" t="inlineStr">
        <is>
          <t>First Aid</t>
        </is>
      </c>
      <c r="J78" s="28" t="inlineStr">
        <is>
          <t>Vehicle / Mobile Equipment</t>
        </is>
      </c>
      <c r="K78" s="31" t="n">
        <v>2</v>
      </c>
      <c r="L78" s="28" t="inlineStr">
        <is>
          <t>Closed</t>
        </is>
      </c>
      <c r="M78" s="29" t="n">
        <v>45705</v>
      </c>
      <c r="N78" s="29" t="n"/>
      <c r="O78" s="28" t="inlineStr">
        <is>
          <t>F. Agyeman</t>
        </is>
      </c>
      <c r="P78" s="30">
        <f>IF(OR([@Type]="Lost Time Injury",[@Type]="Restricted Work",[@Type]="Medical Treatment"),1,0)</f>
        <v/>
      </c>
      <c r="Q78" s="30">
        <f>IF([@Type]="Lost Time Injury",1,0)</f>
        <v/>
      </c>
      <c r="R78" s="32">
        <f>IF([@Type]="Lost Time Injury",[@Date],"")</f>
        <v/>
      </c>
      <c r="S78" s="30">
        <f>IF(AND([@Status]&lt;&gt;"Closed",[@CAR_Due]&lt;&gt;"",[@CAR_Due]&lt;TODAY()),1,0)</f>
        <v/>
      </c>
      <c r="T78" s="30">
        <f>IF(AND([@Status]&lt;&gt;"Closed",[@CAR_Due]&lt;&gt;"",[@CAR_Due]&lt;TODAY()),TODAY()-[@CAR_Due],0)</f>
        <v/>
      </c>
    </row>
    <row r="79">
      <c r="A79" s="28" t="inlineStr">
        <is>
          <t>INC-0074</t>
        </is>
      </c>
      <c r="B79" s="29" t="n">
        <v>45712</v>
      </c>
      <c r="C79" s="28">
        <f>YEAR([@Date])</f>
        <v/>
      </c>
      <c r="D79" s="28">
        <f>TEXT([@Date],"mmm")</f>
        <v/>
      </c>
      <c r="E79" s="30">
        <f>MONTH([@Date])</f>
        <v/>
      </c>
      <c r="F79" s="28" t="inlineStr">
        <is>
          <t>Power Station</t>
        </is>
      </c>
      <c r="G79" s="28" t="inlineStr">
        <is>
          <t>Engineering</t>
        </is>
      </c>
      <c r="H79" s="28" t="inlineStr">
        <is>
          <t>Genser (Power)</t>
        </is>
      </c>
      <c r="I79" s="28" t="inlineStr">
        <is>
          <t>Other</t>
        </is>
      </c>
      <c r="J79" s="28" t="inlineStr">
        <is>
          <t>Chemical / Cyanide Spill</t>
        </is>
      </c>
      <c r="K79" s="31" t="n">
        <v>3</v>
      </c>
      <c r="L79" s="28" t="inlineStr">
        <is>
          <t>Closed</t>
        </is>
      </c>
      <c r="M79" s="29" t="n">
        <v>45713</v>
      </c>
      <c r="N79" s="29" t="n"/>
      <c r="O79" s="28" t="inlineStr">
        <is>
          <t>M. Quaye</t>
        </is>
      </c>
      <c r="P79" s="30">
        <f>IF(OR([@Type]="Lost Time Injury",[@Type]="Restricted Work",[@Type]="Medical Treatment"),1,0)</f>
        <v/>
      </c>
      <c r="Q79" s="30">
        <f>IF([@Type]="Lost Time Injury",1,0)</f>
        <v/>
      </c>
      <c r="R79" s="32">
        <f>IF([@Type]="Lost Time Injury",[@Date],"")</f>
        <v/>
      </c>
      <c r="S79" s="30">
        <f>IF(AND([@Status]&lt;&gt;"Closed",[@CAR_Due]&lt;&gt;"",[@CAR_Due]&lt;TODAY()),1,0)</f>
        <v/>
      </c>
      <c r="T79" s="30">
        <f>IF(AND([@Status]&lt;&gt;"Closed",[@CAR_Due]&lt;&gt;"",[@CAR_Due]&lt;TODAY()),TODAY()-[@CAR_Due],0)</f>
        <v/>
      </c>
    </row>
    <row r="80">
      <c r="A80" s="28" t="inlineStr">
        <is>
          <t>INC-0075</t>
        </is>
      </c>
      <c r="B80" s="29" t="n">
        <v>45725</v>
      </c>
      <c r="C80" s="28">
        <f>YEAR([@Date])</f>
        <v/>
      </c>
      <c r="D80" s="28">
        <f>TEXT([@Date],"mmm")</f>
        <v/>
      </c>
      <c r="E80" s="30">
        <f>MONTH([@Date])</f>
        <v/>
      </c>
      <c r="F80" s="28" t="inlineStr">
        <is>
          <t>Esaase Open Pit</t>
        </is>
      </c>
      <c r="G80" s="28" t="inlineStr">
        <is>
          <t>Mining</t>
        </is>
      </c>
      <c r="H80" s="28" t="inlineStr">
        <is>
          <t>AUMS (Mining Contractor)</t>
        </is>
      </c>
      <c r="I80" s="28" t="inlineStr">
        <is>
          <t>First Aid</t>
        </is>
      </c>
      <c r="J80" s="28" t="inlineStr">
        <is>
          <t>Chemical / Cyanide Spill</t>
        </is>
      </c>
      <c r="K80" s="31" t="n">
        <v>1</v>
      </c>
      <c r="L80" s="28" t="inlineStr">
        <is>
          <t>Closed</t>
        </is>
      </c>
      <c r="M80" s="29" t="n">
        <v>45727</v>
      </c>
      <c r="N80" s="29" t="n"/>
      <c r="O80" s="28" t="inlineStr">
        <is>
          <t>D. Tetteh</t>
        </is>
      </c>
      <c r="P80" s="30">
        <f>IF(OR([@Type]="Lost Time Injury",[@Type]="Restricted Work",[@Type]="Medical Treatment"),1,0)</f>
        <v/>
      </c>
      <c r="Q80" s="30">
        <f>IF([@Type]="Lost Time Injury",1,0)</f>
        <v/>
      </c>
      <c r="R80" s="32">
        <f>IF([@Type]="Lost Time Injury",[@Date],"")</f>
        <v/>
      </c>
      <c r="S80" s="30">
        <f>IF(AND([@Status]&lt;&gt;"Closed",[@CAR_Due]&lt;&gt;"",[@CAR_Due]&lt;TODAY()),1,0)</f>
        <v/>
      </c>
      <c r="T80" s="30">
        <f>IF(AND([@Status]&lt;&gt;"Closed",[@CAR_Due]&lt;&gt;"",[@CAR_Due]&lt;TODAY()),TODAY()-[@CAR_Due],0)</f>
        <v/>
      </c>
    </row>
    <row r="81">
      <c r="A81" s="28" t="inlineStr">
        <is>
          <t>INC-0076</t>
        </is>
      </c>
      <c r="B81" s="29" t="n">
        <v>45729</v>
      </c>
      <c r="C81" s="28">
        <f>YEAR([@Date])</f>
        <v/>
      </c>
      <c r="D81" s="28">
        <f>TEXT([@Date],"mmm")</f>
        <v/>
      </c>
      <c r="E81" s="30">
        <f>MONTH([@Date])</f>
        <v/>
      </c>
      <c r="F81" s="28" t="inlineStr">
        <is>
          <t>Nkran Open Pit</t>
        </is>
      </c>
      <c r="G81" s="28" t="inlineStr">
        <is>
          <t>Mining</t>
        </is>
      </c>
      <c r="H81" s="28" t="inlineStr">
        <is>
          <t>AUMS (Mining Contractor)</t>
        </is>
      </c>
      <c r="I81" s="28" t="inlineStr">
        <is>
          <t>Other</t>
        </is>
      </c>
      <c r="J81" s="28" t="inlineStr">
        <is>
          <t>Fire / Explosion</t>
        </is>
      </c>
      <c r="K81" s="31" t="n">
        <v>2</v>
      </c>
      <c r="L81" s="28" t="inlineStr">
        <is>
          <t>Closed</t>
        </is>
      </c>
      <c r="M81" s="29" t="n">
        <v>45730</v>
      </c>
      <c r="N81" s="29" t="n"/>
      <c r="O81" s="28" t="inlineStr">
        <is>
          <t>S. Addo</t>
        </is>
      </c>
      <c r="P81" s="30">
        <f>IF(OR([@Type]="Lost Time Injury",[@Type]="Restricted Work",[@Type]="Medical Treatment"),1,0)</f>
        <v/>
      </c>
      <c r="Q81" s="30">
        <f>IF([@Type]="Lost Time Injury",1,0)</f>
        <v/>
      </c>
      <c r="R81" s="32">
        <f>IF([@Type]="Lost Time Injury",[@Date],"")</f>
        <v/>
      </c>
      <c r="S81" s="30">
        <f>IF(AND([@Status]&lt;&gt;"Closed",[@CAR_Due]&lt;&gt;"",[@CAR_Due]&lt;TODAY()),1,0)</f>
        <v/>
      </c>
      <c r="T81" s="30">
        <f>IF(AND([@Status]&lt;&gt;"Closed",[@CAR_Due]&lt;&gt;"",[@CAR_Due]&lt;TODAY()),TODAY()-[@CAR_Due],0)</f>
        <v/>
      </c>
    </row>
    <row r="82">
      <c r="A82" s="28" t="inlineStr">
        <is>
          <t>INC-0077</t>
        </is>
      </c>
      <c r="B82" s="29" t="n">
        <v>45720</v>
      </c>
      <c r="C82" s="28">
        <f>YEAR([@Date])</f>
        <v/>
      </c>
      <c r="D82" s="28">
        <f>TEXT([@Date],"mmm")</f>
        <v/>
      </c>
      <c r="E82" s="30">
        <f>MONTH([@Date])</f>
        <v/>
      </c>
      <c r="F82" s="28" t="inlineStr">
        <is>
          <t>Fuel Farm</t>
        </is>
      </c>
      <c r="G82" s="28" t="inlineStr">
        <is>
          <t>Engineering</t>
        </is>
      </c>
      <c r="H82" s="28" t="inlineStr">
        <is>
          <t>Owner (Asanko)</t>
        </is>
      </c>
      <c r="I82" s="28" t="inlineStr">
        <is>
          <t>First Aid</t>
        </is>
      </c>
      <c r="J82" s="28" t="inlineStr">
        <is>
          <t>Other</t>
        </is>
      </c>
      <c r="K82" s="31" t="n">
        <v>3</v>
      </c>
      <c r="L82" s="28" t="inlineStr">
        <is>
          <t>Closed</t>
        </is>
      </c>
      <c r="M82" s="29" t="n">
        <v>45720</v>
      </c>
      <c r="N82" s="29" t="n"/>
      <c r="O82" s="28" t="inlineStr">
        <is>
          <t>P. Annan</t>
        </is>
      </c>
      <c r="P82" s="30">
        <f>IF(OR([@Type]="Lost Time Injury",[@Type]="Restricted Work",[@Type]="Medical Treatment"),1,0)</f>
        <v/>
      </c>
      <c r="Q82" s="30">
        <f>IF([@Type]="Lost Time Injury",1,0)</f>
        <v/>
      </c>
      <c r="R82" s="32">
        <f>IF([@Type]="Lost Time Injury",[@Date],"")</f>
        <v/>
      </c>
      <c r="S82" s="30">
        <f>IF(AND([@Status]&lt;&gt;"Closed",[@CAR_Due]&lt;&gt;"",[@CAR_Due]&lt;TODAY()),1,0)</f>
        <v/>
      </c>
      <c r="T82" s="30">
        <f>IF(AND([@Status]&lt;&gt;"Closed",[@CAR_Due]&lt;&gt;"",[@CAR_Due]&lt;TODAY()),TODAY()-[@CAR_Due],0)</f>
        <v/>
      </c>
    </row>
    <row r="83">
      <c r="A83" s="28" t="inlineStr">
        <is>
          <t>INC-0078</t>
        </is>
      </c>
      <c r="B83" s="29" t="n">
        <v>45740</v>
      </c>
      <c r="C83" s="28">
        <f>YEAR([@Date])</f>
        <v/>
      </c>
      <c r="D83" s="28">
        <f>TEXT([@Date],"mmm")</f>
        <v/>
      </c>
      <c r="E83" s="30">
        <f>MONTH([@Date])</f>
        <v/>
      </c>
      <c r="F83" s="28" t="inlineStr">
        <is>
          <t>Crushing Circuit</t>
        </is>
      </c>
      <c r="G83" s="28" t="inlineStr">
        <is>
          <t>Processing</t>
        </is>
      </c>
      <c r="H83" s="28" t="inlineStr">
        <is>
          <t>Owner (Asanko)</t>
        </is>
      </c>
      <c r="I83" s="28" t="inlineStr">
        <is>
          <t>Environmental</t>
        </is>
      </c>
      <c r="J83" s="28" t="inlineStr">
        <is>
          <t>Personal Injury</t>
        </is>
      </c>
      <c r="K83" s="31" t="n">
        <v>3</v>
      </c>
      <c r="L83" s="28" t="inlineStr">
        <is>
          <t>Closed</t>
        </is>
      </c>
      <c r="M83" s="29" t="n">
        <v>45741</v>
      </c>
      <c r="N83" s="29" t="n">
        <v>45770</v>
      </c>
      <c r="O83" s="28" t="inlineStr">
        <is>
          <t>S. Addo</t>
        </is>
      </c>
      <c r="P83" s="30">
        <f>IF(OR([@Type]="Lost Time Injury",[@Type]="Restricted Work",[@Type]="Medical Treatment"),1,0)</f>
        <v/>
      </c>
      <c r="Q83" s="30">
        <f>IF([@Type]="Lost Time Injury",1,0)</f>
        <v/>
      </c>
      <c r="R83" s="32">
        <f>IF([@Type]="Lost Time Injury",[@Date],"")</f>
        <v/>
      </c>
      <c r="S83" s="30">
        <f>IF(AND([@Status]&lt;&gt;"Closed",[@CAR_Due]&lt;&gt;"",[@CAR_Due]&lt;TODAY()),1,0)</f>
        <v/>
      </c>
      <c r="T83" s="30">
        <f>IF(AND([@Status]&lt;&gt;"Closed",[@CAR_Due]&lt;&gt;"",[@CAR_Due]&lt;TODAY()),TODAY()-[@CAR_Due],0)</f>
        <v/>
      </c>
    </row>
    <row r="84">
      <c r="A84" s="28" t="inlineStr">
        <is>
          <t>INC-0079</t>
        </is>
      </c>
      <c r="B84" s="29" t="n">
        <v>45739</v>
      </c>
      <c r="C84" s="28">
        <f>YEAR([@Date])</f>
        <v/>
      </c>
      <c r="D84" s="28">
        <f>TEXT([@Date],"mmm")</f>
        <v/>
      </c>
      <c r="E84" s="30">
        <f>MONTH([@Date])</f>
        <v/>
      </c>
      <c r="F84" s="28" t="inlineStr">
        <is>
          <t>Haul Roads</t>
        </is>
      </c>
      <c r="G84" s="28" t="inlineStr">
        <is>
          <t>Mining</t>
        </is>
      </c>
      <c r="H84" s="28" t="inlineStr">
        <is>
          <t>AUMS (Mining Contractor)</t>
        </is>
      </c>
      <c r="I84" s="28" t="inlineStr">
        <is>
          <t>Property Damage</t>
        </is>
      </c>
      <c r="J84" s="28" t="inlineStr">
        <is>
          <t>Other</t>
        </is>
      </c>
      <c r="K84" s="31" t="n">
        <v>2</v>
      </c>
      <c r="L84" s="28" t="inlineStr">
        <is>
          <t>Closed</t>
        </is>
      </c>
      <c r="M84" s="29" t="n">
        <v>45739</v>
      </c>
      <c r="N84" s="29" t="n">
        <v>45796</v>
      </c>
      <c r="O84" s="28" t="inlineStr">
        <is>
          <t>D. Tetteh</t>
        </is>
      </c>
      <c r="P84" s="30">
        <f>IF(OR([@Type]="Lost Time Injury",[@Type]="Restricted Work",[@Type]="Medical Treatment"),1,0)</f>
        <v/>
      </c>
      <c r="Q84" s="30">
        <f>IF([@Type]="Lost Time Injury",1,0)</f>
        <v/>
      </c>
      <c r="R84" s="32">
        <f>IF([@Type]="Lost Time Injury",[@Date],"")</f>
        <v/>
      </c>
      <c r="S84" s="30">
        <f>IF(AND([@Status]&lt;&gt;"Closed",[@CAR_Due]&lt;&gt;"",[@CAR_Due]&lt;TODAY()),1,0)</f>
        <v/>
      </c>
      <c r="T84" s="30">
        <f>IF(AND([@Status]&lt;&gt;"Closed",[@CAR_Due]&lt;&gt;"",[@CAR_Due]&lt;TODAY()),TODAY()-[@CAR_Due],0)</f>
        <v/>
      </c>
    </row>
    <row r="85">
      <c r="A85" s="28" t="inlineStr">
        <is>
          <t>INC-0080</t>
        </is>
      </c>
      <c r="B85" s="29" t="n">
        <v>45737</v>
      </c>
      <c r="C85" s="28">
        <f>YEAR([@Date])</f>
        <v/>
      </c>
      <c r="D85" s="28">
        <f>TEXT([@Date],"mmm")</f>
        <v/>
      </c>
      <c r="E85" s="30">
        <f>MONTH([@Date])</f>
        <v/>
      </c>
      <c r="F85" s="28" t="inlineStr">
        <is>
          <t>Assay Laboratory</t>
        </is>
      </c>
      <c r="G85" s="28" t="inlineStr">
        <is>
          <t>Laboratory</t>
        </is>
      </c>
      <c r="H85" s="28" t="inlineStr">
        <is>
          <t>SGS (Laboratory)</t>
        </is>
      </c>
      <c r="I85" s="28" t="inlineStr">
        <is>
          <t>Other</t>
        </is>
      </c>
      <c r="J85" s="28" t="inlineStr">
        <is>
          <t>Security</t>
        </is>
      </c>
      <c r="K85" s="31" t="n">
        <v>3</v>
      </c>
      <c r="L85" s="28" t="inlineStr">
        <is>
          <t>Closed</t>
        </is>
      </c>
      <c r="M85" s="29" t="n">
        <v>45737</v>
      </c>
      <c r="N85" s="29" t="n"/>
      <c r="O85" s="28" t="inlineStr">
        <is>
          <t>E. Asante</t>
        </is>
      </c>
      <c r="P85" s="30">
        <f>IF(OR([@Type]="Lost Time Injury",[@Type]="Restricted Work",[@Type]="Medical Treatment"),1,0)</f>
        <v/>
      </c>
      <c r="Q85" s="30">
        <f>IF([@Type]="Lost Time Injury",1,0)</f>
        <v/>
      </c>
      <c r="R85" s="32">
        <f>IF([@Type]="Lost Time Injury",[@Date],"")</f>
        <v/>
      </c>
      <c r="S85" s="30">
        <f>IF(AND([@Status]&lt;&gt;"Closed",[@CAR_Due]&lt;&gt;"",[@CAR_Due]&lt;TODAY()),1,0)</f>
        <v/>
      </c>
      <c r="T85" s="30">
        <f>IF(AND([@Status]&lt;&gt;"Closed",[@CAR_Due]&lt;&gt;"",[@CAR_Due]&lt;TODAY()),TODAY()-[@CAR_Due],0)</f>
        <v/>
      </c>
    </row>
    <row r="86">
      <c r="A86" s="28" t="inlineStr">
        <is>
          <t>INC-0081</t>
        </is>
      </c>
      <c r="B86" s="29" t="n">
        <v>45775</v>
      </c>
      <c r="C86" s="28">
        <f>YEAR([@Date])</f>
        <v/>
      </c>
      <c r="D86" s="28">
        <f>TEXT([@Date],"mmm")</f>
        <v/>
      </c>
      <c r="E86" s="30">
        <f>MONTH([@Date])</f>
        <v/>
      </c>
      <c r="F86" s="28" t="inlineStr">
        <is>
          <t>Explosives Magazine</t>
        </is>
      </c>
      <c r="G86" s="28" t="inlineStr">
        <is>
          <t>Mining</t>
        </is>
      </c>
      <c r="H86" s="28" t="inlineStr">
        <is>
          <t>Maxam (Blasting)</t>
        </is>
      </c>
      <c r="I86" s="28" t="inlineStr">
        <is>
          <t>Medical Treatment</t>
        </is>
      </c>
      <c r="J86" s="28" t="inlineStr">
        <is>
          <t>Other</t>
        </is>
      </c>
      <c r="K86" s="31" t="n">
        <v>1</v>
      </c>
      <c r="L86" s="28" t="inlineStr">
        <is>
          <t>Closed</t>
        </is>
      </c>
      <c r="M86" s="29" t="n">
        <v>45775</v>
      </c>
      <c r="N86" s="29" t="n">
        <v>45802</v>
      </c>
      <c r="O86" s="28" t="inlineStr">
        <is>
          <t>Y. Darko</t>
        </is>
      </c>
      <c r="P86" s="30">
        <f>IF(OR([@Type]="Lost Time Injury",[@Type]="Restricted Work",[@Type]="Medical Treatment"),1,0)</f>
        <v/>
      </c>
      <c r="Q86" s="30">
        <f>IF([@Type]="Lost Time Injury",1,0)</f>
        <v/>
      </c>
      <c r="R86" s="32">
        <f>IF([@Type]="Lost Time Injury",[@Date],"")</f>
        <v/>
      </c>
      <c r="S86" s="30">
        <f>IF(AND([@Status]&lt;&gt;"Closed",[@CAR_Due]&lt;&gt;"",[@CAR_Due]&lt;TODAY()),1,0)</f>
        <v/>
      </c>
      <c r="T86" s="30">
        <f>IF(AND([@Status]&lt;&gt;"Closed",[@CAR_Due]&lt;&gt;"",[@CAR_Due]&lt;TODAY()),TODAY()-[@CAR_Due],0)</f>
        <v/>
      </c>
    </row>
    <row r="87">
      <c r="A87" s="28" t="inlineStr">
        <is>
          <t>INC-0082</t>
        </is>
      </c>
      <c r="B87" s="29" t="n">
        <v>45762</v>
      </c>
      <c r="C87" s="28">
        <f>YEAR([@Date])</f>
        <v/>
      </c>
      <c r="D87" s="28">
        <f>TEXT([@Date],"mmm")</f>
        <v/>
      </c>
      <c r="E87" s="30">
        <f>MONTH([@Date])</f>
        <v/>
      </c>
      <c r="F87" s="28" t="inlineStr">
        <is>
          <t>Power Station</t>
        </is>
      </c>
      <c r="G87" s="28" t="inlineStr">
        <is>
          <t>Engineering</t>
        </is>
      </c>
      <c r="H87" s="28" t="inlineStr">
        <is>
          <t>Genser (Power)</t>
        </is>
      </c>
      <c r="I87" s="28" t="inlineStr">
        <is>
          <t>First Aid</t>
        </is>
      </c>
      <c r="J87" s="28" t="inlineStr">
        <is>
          <t>Security</t>
        </is>
      </c>
      <c r="K87" s="31" t="n">
        <v>1</v>
      </c>
      <c r="L87" s="28" t="inlineStr">
        <is>
          <t>Closed</t>
        </is>
      </c>
      <c r="M87" s="29" t="n">
        <v>45764</v>
      </c>
      <c r="N87" s="29" t="n"/>
      <c r="O87" s="28" t="inlineStr">
        <is>
          <t>Y. Darko</t>
        </is>
      </c>
      <c r="P87" s="30">
        <f>IF(OR([@Type]="Lost Time Injury",[@Type]="Restricted Work",[@Type]="Medical Treatment"),1,0)</f>
        <v/>
      </c>
      <c r="Q87" s="30">
        <f>IF([@Type]="Lost Time Injury",1,0)</f>
        <v/>
      </c>
      <c r="R87" s="32">
        <f>IF([@Type]="Lost Time Injury",[@Date],"")</f>
        <v/>
      </c>
      <c r="S87" s="30">
        <f>IF(AND([@Status]&lt;&gt;"Closed",[@CAR_Due]&lt;&gt;"",[@CAR_Due]&lt;TODAY()),1,0)</f>
        <v/>
      </c>
      <c r="T87" s="30">
        <f>IF(AND([@Status]&lt;&gt;"Closed",[@CAR_Due]&lt;&gt;"",[@CAR_Due]&lt;TODAY()),TODAY()-[@CAR_Due],0)</f>
        <v/>
      </c>
    </row>
    <row r="88">
      <c r="A88" s="28" t="inlineStr">
        <is>
          <t>INC-0083</t>
        </is>
      </c>
      <c r="B88" s="29" t="n">
        <v>45766</v>
      </c>
      <c r="C88" s="28">
        <f>YEAR([@Date])</f>
        <v/>
      </c>
      <c r="D88" s="28">
        <f>TEXT([@Date],"mmm")</f>
        <v/>
      </c>
      <c r="E88" s="30">
        <f>MONTH([@Date])</f>
        <v/>
      </c>
      <c r="F88" s="28" t="inlineStr">
        <is>
          <t>HME Workshop</t>
        </is>
      </c>
      <c r="G88" s="28" t="inlineStr">
        <is>
          <t>Engineering</t>
        </is>
      </c>
      <c r="H88" s="28" t="inlineStr">
        <is>
          <t>Owner (Asanko)</t>
        </is>
      </c>
      <c r="I88" s="28" t="inlineStr">
        <is>
          <t>Environmental</t>
        </is>
      </c>
      <c r="J88" s="28" t="inlineStr">
        <is>
          <t>Fall from Height</t>
        </is>
      </c>
      <c r="K88" s="31" t="n">
        <v>3</v>
      </c>
      <c r="L88" s="28" t="inlineStr">
        <is>
          <t>Closed</t>
        </is>
      </c>
      <c r="M88" s="29" t="n">
        <v>45766</v>
      </c>
      <c r="N88" s="29" t="n">
        <v>45814</v>
      </c>
      <c r="O88" s="28" t="inlineStr">
        <is>
          <t>F. Agyeman</t>
        </is>
      </c>
      <c r="P88" s="30">
        <f>IF(OR([@Type]="Lost Time Injury",[@Type]="Restricted Work",[@Type]="Medical Treatment"),1,0)</f>
        <v/>
      </c>
      <c r="Q88" s="30">
        <f>IF([@Type]="Lost Time Injury",1,0)</f>
        <v/>
      </c>
      <c r="R88" s="32">
        <f>IF([@Type]="Lost Time Injury",[@Date],"")</f>
        <v/>
      </c>
      <c r="S88" s="30">
        <f>IF(AND([@Status]&lt;&gt;"Closed",[@CAR_Due]&lt;&gt;"",[@CAR_Due]&lt;TODAY()),1,0)</f>
        <v/>
      </c>
      <c r="T88" s="30">
        <f>IF(AND([@Status]&lt;&gt;"Closed",[@CAR_Due]&lt;&gt;"",[@CAR_Due]&lt;TODAY()),TODAY()-[@CAR_Due],0)</f>
        <v/>
      </c>
    </row>
    <row r="89">
      <c r="A89" s="28" t="inlineStr">
        <is>
          <t>INC-0084</t>
        </is>
      </c>
      <c r="B89" s="29" t="n">
        <v>45763</v>
      </c>
      <c r="C89" s="28">
        <f>YEAR([@Date])</f>
        <v/>
      </c>
      <c r="D89" s="28">
        <f>TEXT([@Date],"mmm")</f>
        <v/>
      </c>
      <c r="E89" s="30">
        <f>MONTH([@Date])</f>
        <v/>
      </c>
      <c r="F89" s="28" t="inlineStr">
        <is>
          <t>Processing Plant (CIL)</t>
        </is>
      </c>
      <c r="G89" s="28" t="inlineStr">
        <is>
          <t>Processing</t>
        </is>
      </c>
      <c r="H89" s="28" t="inlineStr">
        <is>
          <t>Owner (Asanko)</t>
        </is>
      </c>
      <c r="I89" s="28" t="inlineStr">
        <is>
          <t>Other</t>
        </is>
      </c>
      <c r="J89" s="28" t="inlineStr">
        <is>
          <t>Vehicle / Mobile Equipment</t>
        </is>
      </c>
      <c r="K89" s="31" t="n">
        <v>1</v>
      </c>
      <c r="L89" s="28" t="inlineStr">
        <is>
          <t>Closed</t>
        </is>
      </c>
      <c r="M89" s="29" t="n">
        <v>45765</v>
      </c>
      <c r="N89" s="29" t="n"/>
      <c r="O89" s="28" t="inlineStr">
        <is>
          <t>Y. Darko</t>
        </is>
      </c>
      <c r="P89" s="30">
        <f>IF(OR([@Type]="Lost Time Injury",[@Type]="Restricted Work",[@Type]="Medical Treatment"),1,0)</f>
        <v/>
      </c>
      <c r="Q89" s="30">
        <f>IF([@Type]="Lost Time Injury",1,0)</f>
        <v/>
      </c>
      <c r="R89" s="32">
        <f>IF([@Type]="Lost Time Injury",[@Date],"")</f>
        <v/>
      </c>
      <c r="S89" s="30">
        <f>IF(AND([@Status]&lt;&gt;"Closed",[@CAR_Due]&lt;&gt;"",[@CAR_Due]&lt;TODAY()),1,0)</f>
        <v/>
      </c>
      <c r="T89" s="30">
        <f>IF(AND([@Status]&lt;&gt;"Closed",[@CAR_Due]&lt;&gt;"",[@CAR_Due]&lt;TODAY()),TODAY()-[@CAR_Due],0)</f>
        <v/>
      </c>
    </row>
    <row r="90">
      <c r="A90" s="28" t="inlineStr">
        <is>
          <t>INC-0085</t>
        </is>
      </c>
      <c r="B90" s="29" t="n">
        <v>45775</v>
      </c>
      <c r="C90" s="28">
        <f>YEAR([@Date])</f>
        <v/>
      </c>
      <c r="D90" s="28">
        <f>TEXT([@Date],"mmm")</f>
        <v/>
      </c>
      <c r="E90" s="30">
        <f>MONTH([@Date])</f>
        <v/>
      </c>
      <c r="F90" s="28" t="inlineStr">
        <is>
          <t>Elution &amp; Gold Room</t>
        </is>
      </c>
      <c r="G90" s="28" t="inlineStr">
        <is>
          <t>Processing</t>
        </is>
      </c>
      <c r="H90" s="28" t="inlineStr">
        <is>
          <t>Owner (Asanko)</t>
        </is>
      </c>
      <c r="I90" s="28" t="inlineStr">
        <is>
          <t>Property Damage</t>
        </is>
      </c>
      <c r="J90" s="28" t="inlineStr">
        <is>
          <t>Security</t>
        </is>
      </c>
      <c r="K90" s="31" t="n">
        <v>4</v>
      </c>
      <c r="L90" s="28" t="inlineStr">
        <is>
          <t>Closed</t>
        </is>
      </c>
      <c r="M90" s="29" t="n">
        <v>45776</v>
      </c>
      <c r="N90" s="29" t="n">
        <v>45806</v>
      </c>
      <c r="O90" s="28" t="inlineStr">
        <is>
          <t>Y. Darko</t>
        </is>
      </c>
      <c r="P90" s="30">
        <f>IF(OR([@Type]="Lost Time Injury",[@Type]="Restricted Work",[@Type]="Medical Treatment"),1,0)</f>
        <v/>
      </c>
      <c r="Q90" s="30">
        <f>IF([@Type]="Lost Time Injury",1,0)</f>
        <v/>
      </c>
      <c r="R90" s="32">
        <f>IF([@Type]="Lost Time Injury",[@Date],"")</f>
        <v/>
      </c>
      <c r="S90" s="30">
        <f>IF(AND([@Status]&lt;&gt;"Closed",[@CAR_Due]&lt;&gt;"",[@CAR_Due]&lt;TODAY()),1,0)</f>
        <v/>
      </c>
      <c r="T90" s="30">
        <f>IF(AND([@Status]&lt;&gt;"Closed",[@CAR_Due]&lt;&gt;"",[@CAR_Due]&lt;TODAY()),TODAY()-[@CAR_Due],0)</f>
        <v/>
      </c>
    </row>
    <row r="91">
      <c r="A91" s="28" t="inlineStr">
        <is>
          <t>INC-0086</t>
        </is>
      </c>
      <c r="B91" s="29" t="n">
        <v>45778</v>
      </c>
      <c r="C91" s="28">
        <f>YEAR([@Date])</f>
        <v/>
      </c>
      <c r="D91" s="28">
        <f>TEXT([@Date],"mmm")</f>
        <v/>
      </c>
      <c r="E91" s="30">
        <f>MONTH([@Date])</f>
        <v/>
      </c>
      <c r="F91" s="28" t="inlineStr">
        <is>
          <t>Explosives Magazine</t>
        </is>
      </c>
      <c r="G91" s="28" t="inlineStr">
        <is>
          <t>Mining</t>
        </is>
      </c>
      <c r="H91" s="28" t="inlineStr">
        <is>
          <t>Maxam (Blasting)</t>
        </is>
      </c>
      <c r="I91" s="28" t="inlineStr">
        <is>
          <t>Other</t>
        </is>
      </c>
      <c r="J91" s="28" t="inlineStr">
        <is>
          <t>Chemical / Cyanide Spill</t>
        </is>
      </c>
      <c r="K91" s="31" t="n">
        <v>1</v>
      </c>
      <c r="L91" s="28" t="inlineStr">
        <is>
          <t>Closed</t>
        </is>
      </c>
      <c r="M91" s="29" t="n">
        <v>45779</v>
      </c>
      <c r="N91" s="29" t="n"/>
      <c r="O91" s="28" t="inlineStr">
        <is>
          <t>Y. Darko</t>
        </is>
      </c>
      <c r="P91" s="30">
        <f>IF(OR([@Type]="Lost Time Injury",[@Type]="Restricted Work",[@Type]="Medical Treatment"),1,0)</f>
        <v/>
      </c>
      <c r="Q91" s="30">
        <f>IF([@Type]="Lost Time Injury",1,0)</f>
        <v/>
      </c>
      <c r="R91" s="32">
        <f>IF([@Type]="Lost Time Injury",[@Date],"")</f>
        <v/>
      </c>
      <c r="S91" s="30">
        <f>IF(AND([@Status]&lt;&gt;"Closed",[@CAR_Due]&lt;&gt;"",[@CAR_Due]&lt;TODAY()),1,0)</f>
        <v/>
      </c>
      <c r="T91" s="30">
        <f>IF(AND([@Status]&lt;&gt;"Closed",[@CAR_Due]&lt;&gt;"",[@CAR_Due]&lt;TODAY()),TODAY()-[@CAR_Due],0)</f>
        <v/>
      </c>
    </row>
    <row r="92">
      <c r="A92" s="28" t="inlineStr">
        <is>
          <t>INC-0087</t>
        </is>
      </c>
      <c r="B92" s="29" t="n">
        <v>45794</v>
      </c>
      <c r="C92" s="28">
        <f>YEAR([@Date])</f>
        <v/>
      </c>
      <c r="D92" s="28">
        <f>TEXT([@Date],"mmm")</f>
        <v/>
      </c>
      <c r="E92" s="30">
        <f>MONTH([@Date])</f>
        <v/>
      </c>
      <c r="F92" s="28" t="inlineStr">
        <is>
          <t>Nkran Open Pit</t>
        </is>
      </c>
      <c r="G92" s="28" t="inlineStr">
        <is>
          <t>Mining</t>
        </is>
      </c>
      <c r="H92" s="28" t="inlineStr">
        <is>
          <t>AUMS (Mining Contractor)</t>
        </is>
      </c>
      <c r="I92" s="28" t="inlineStr">
        <is>
          <t>First Aid</t>
        </is>
      </c>
      <c r="J92" s="28" t="inlineStr">
        <is>
          <t>Environmental Release</t>
        </is>
      </c>
      <c r="K92" s="31" t="n">
        <v>2</v>
      </c>
      <c r="L92" s="28" t="inlineStr">
        <is>
          <t>Closed</t>
        </is>
      </c>
      <c r="M92" s="29" t="n">
        <v>45795</v>
      </c>
      <c r="N92" s="29" t="n"/>
      <c r="O92" s="28" t="inlineStr">
        <is>
          <t>S. Addo</t>
        </is>
      </c>
      <c r="P92" s="30">
        <f>IF(OR([@Type]="Lost Time Injury",[@Type]="Restricted Work",[@Type]="Medical Treatment"),1,0)</f>
        <v/>
      </c>
      <c r="Q92" s="30">
        <f>IF([@Type]="Lost Time Injury",1,0)</f>
        <v/>
      </c>
      <c r="R92" s="32">
        <f>IF([@Type]="Lost Time Injury",[@Date],"")</f>
        <v/>
      </c>
      <c r="S92" s="30">
        <f>IF(AND([@Status]&lt;&gt;"Closed",[@CAR_Due]&lt;&gt;"",[@CAR_Due]&lt;TODAY()),1,0)</f>
        <v/>
      </c>
      <c r="T92" s="30">
        <f>IF(AND([@Status]&lt;&gt;"Closed",[@CAR_Due]&lt;&gt;"",[@CAR_Due]&lt;TODAY()),TODAY()-[@CAR_Due],0)</f>
        <v/>
      </c>
    </row>
    <row r="93">
      <c r="A93" s="28" t="inlineStr">
        <is>
          <t>INC-0088</t>
        </is>
      </c>
      <c r="B93" s="29" t="n">
        <v>45792</v>
      </c>
      <c r="C93" s="28">
        <f>YEAR([@Date])</f>
        <v/>
      </c>
      <c r="D93" s="28">
        <f>TEXT([@Date],"mmm")</f>
        <v/>
      </c>
      <c r="E93" s="30">
        <f>MONTH([@Date])</f>
        <v/>
      </c>
      <c r="F93" s="28" t="inlineStr">
        <is>
          <t>Administration</t>
        </is>
      </c>
      <c r="G93" s="28" t="inlineStr">
        <is>
          <t>Administration</t>
        </is>
      </c>
      <c r="H93" s="28" t="inlineStr">
        <is>
          <t>Owner (Asanko)</t>
        </is>
      </c>
      <c r="I93" s="28" t="inlineStr">
        <is>
          <t>Environmental</t>
        </is>
      </c>
      <c r="J93" s="28" t="inlineStr">
        <is>
          <t>Caught Between / Struck By</t>
        </is>
      </c>
      <c r="K93" s="31" t="n">
        <v>4</v>
      </c>
      <c r="L93" s="28" t="inlineStr">
        <is>
          <t>Closed</t>
        </is>
      </c>
      <c r="M93" s="29" t="n">
        <v>45793</v>
      </c>
      <c r="N93" s="29" t="n">
        <v>45840</v>
      </c>
      <c r="O93" s="28" t="inlineStr">
        <is>
          <t>M. Quaye</t>
        </is>
      </c>
      <c r="P93" s="30">
        <f>IF(OR([@Type]="Lost Time Injury",[@Type]="Restricted Work",[@Type]="Medical Treatment"),1,0)</f>
        <v/>
      </c>
      <c r="Q93" s="30">
        <f>IF([@Type]="Lost Time Injury",1,0)</f>
        <v/>
      </c>
      <c r="R93" s="32">
        <f>IF([@Type]="Lost Time Injury",[@Date],"")</f>
        <v/>
      </c>
      <c r="S93" s="30">
        <f>IF(AND([@Status]&lt;&gt;"Closed",[@CAR_Due]&lt;&gt;"",[@CAR_Due]&lt;TODAY()),1,0)</f>
        <v/>
      </c>
      <c r="T93" s="30">
        <f>IF(AND([@Status]&lt;&gt;"Closed",[@CAR_Due]&lt;&gt;"",[@CAR_Due]&lt;TODAY()),TODAY()-[@CAR_Due],0)</f>
        <v/>
      </c>
    </row>
    <row r="94">
      <c r="A94" s="28" t="inlineStr">
        <is>
          <t>INC-0089</t>
        </is>
      </c>
      <c r="B94" s="29" t="n">
        <v>45804</v>
      </c>
      <c r="C94" s="28">
        <f>YEAR([@Date])</f>
        <v/>
      </c>
      <c r="D94" s="28">
        <f>TEXT([@Date],"mmm")</f>
        <v/>
      </c>
      <c r="E94" s="30">
        <f>MONTH([@Date])</f>
        <v/>
      </c>
      <c r="F94" s="28" t="inlineStr">
        <is>
          <t>Tailings Storage Facility</t>
        </is>
      </c>
      <c r="G94" s="28" t="inlineStr">
        <is>
          <t>Environment</t>
        </is>
      </c>
      <c r="H94" s="28" t="inlineStr">
        <is>
          <t>Owner (Asanko)</t>
        </is>
      </c>
      <c r="I94" s="28" t="inlineStr">
        <is>
          <t>First Aid</t>
        </is>
      </c>
      <c r="J94" s="28" t="inlineStr">
        <is>
          <t>Slip / Trip / Fall</t>
        </is>
      </c>
      <c r="K94" s="31" t="n">
        <v>2</v>
      </c>
      <c r="L94" s="28" t="inlineStr">
        <is>
          <t>Closed</t>
        </is>
      </c>
      <c r="M94" s="29" t="n">
        <v>45806</v>
      </c>
      <c r="N94" s="29" t="n"/>
      <c r="O94" s="28" t="inlineStr">
        <is>
          <t>D. Tetteh</t>
        </is>
      </c>
      <c r="P94" s="30">
        <f>IF(OR([@Type]="Lost Time Injury",[@Type]="Restricted Work",[@Type]="Medical Treatment"),1,0)</f>
        <v/>
      </c>
      <c r="Q94" s="30">
        <f>IF([@Type]="Lost Time Injury",1,0)</f>
        <v/>
      </c>
      <c r="R94" s="32">
        <f>IF([@Type]="Lost Time Injury",[@Date],"")</f>
        <v/>
      </c>
      <c r="S94" s="30">
        <f>IF(AND([@Status]&lt;&gt;"Closed",[@CAR_Due]&lt;&gt;"",[@CAR_Due]&lt;TODAY()),1,0)</f>
        <v/>
      </c>
      <c r="T94" s="30">
        <f>IF(AND([@Status]&lt;&gt;"Closed",[@CAR_Due]&lt;&gt;"",[@CAR_Due]&lt;TODAY()),TODAY()-[@CAR_Due],0)</f>
        <v/>
      </c>
    </row>
    <row r="95">
      <c r="A95" s="28" t="inlineStr">
        <is>
          <t>INC-0090</t>
        </is>
      </c>
      <c r="B95" s="29" t="n">
        <v>45782</v>
      </c>
      <c r="C95" s="28">
        <f>YEAR([@Date])</f>
        <v/>
      </c>
      <c r="D95" s="28">
        <f>TEXT([@Date],"mmm")</f>
        <v/>
      </c>
      <c r="E95" s="30">
        <f>MONTH([@Date])</f>
        <v/>
      </c>
      <c r="F95" s="28" t="inlineStr">
        <is>
          <t>HME Workshop</t>
        </is>
      </c>
      <c r="G95" s="28" t="inlineStr">
        <is>
          <t>Engineering</t>
        </is>
      </c>
      <c r="H95" s="28" t="inlineStr">
        <is>
          <t>Owner (Asanko)</t>
        </is>
      </c>
      <c r="I95" s="28" t="inlineStr">
        <is>
          <t>Other</t>
        </is>
      </c>
      <c r="J95" s="28" t="inlineStr">
        <is>
          <t>Other</t>
        </is>
      </c>
      <c r="K95" s="31" t="n">
        <v>3</v>
      </c>
      <c r="L95" s="28" t="inlineStr">
        <is>
          <t>Closed</t>
        </is>
      </c>
      <c r="M95" s="29" t="n">
        <v>45782</v>
      </c>
      <c r="N95" s="29" t="n"/>
      <c r="O95" s="28" t="inlineStr">
        <is>
          <t>M. Quaye</t>
        </is>
      </c>
      <c r="P95" s="30">
        <f>IF(OR([@Type]="Lost Time Injury",[@Type]="Restricted Work",[@Type]="Medical Treatment"),1,0)</f>
        <v/>
      </c>
      <c r="Q95" s="30">
        <f>IF([@Type]="Lost Time Injury",1,0)</f>
        <v/>
      </c>
      <c r="R95" s="32">
        <f>IF([@Type]="Lost Time Injury",[@Date],"")</f>
        <v/>
      </c>
      <c r="S95" s="30">
        <f>IF(AND([@Status]&lt;&gt;"Closed",[@CAR_Due]&lt;&gt;"",[@CAR_Due]&lt;TODAY()),1,0)</f>
        <v/>
      </c>
      <c r="T95" s="30">
        <f>IF(AND([@Status]&lt;&gt;"Closed",[@CAR_Due]&lt;&gt;"",[@CAR_Due]&lt;TODAY()),TODAY()-[@CAR_Due],0)</f>
        <v/>
      </c>
    </row>
    <row r="96">
      <c r="A96" s="28" t="inlineStr">
        <is>
          <t>INC-0091</t>
        </is>
      </c>
      <c r="B96" s="29" t="n">
        <v>45788</v>
      </c>
      <c r="C96" s="28">
        <f>YEAR([@Date])</f>
        <v/>
      </c>
      <c r="D96" s="28">
        <f>TEXT([@Date],"mmm")</f>
        <v/>
      </c>
      <c r="E96" s="30">
        <f>MONTH([@Date])</f>
        <v/>
      </c>
      <c r="F96" s="28" t="inlineStr">
        <is>
          <t>HME Workshop</t>
        </is>
      </c>
      <c r="G96" s="28" t="inlineStr">
        <is>
          <t>Engineering</t>
        </is>
      </c>
      <c r="H96" s="28" t="inlineStr">
        <is>
          <t>Owner (Asanko)</t>
        </is>
      </c>
      <c r="I96" s="28" t="inlineStr">
        <is>
          <t>First Aid</t>
        </is>
      </c>
      <c r="J96" s="28" t="inlineStr">
        <is>
          <t>Environmental Release</t>
        </is>
      </c>
      <c r="K96" s="31" t="n">
        <v>1</v>
      </c>
      <c r="L96" s="28" t="inlineStr">
        <is>
          <t>Closed</t>
        </is>
      </c>
      <c r="M96" s="29" t="n">
        <v>45789</v>
      </c>
      <c r="N96" s="29" t="n"/>
      <c r="O96" s="28" t="inlineStr">
        <is>
          <t>F. Agyeman</t>
        </is>
      </c>
      <c r="P96" s="30">
        <f>IF(OR([@Type]="Lost Time Injury",[@Type]="Restricted Work",[@Type]="Medical Treatment"),1,0)</f>
        <v/>
      </c>
      <c r="Q96" s="30">
        <f>IF([@Type]="Lost Time Injury",1,0)</f>
        <v/>
      </c>
      <c r="R96" s="32">
        <f>IF([@Type]="Lost Time Injury",[@Date],"")</f>
        <v/>
      </c>
      <c r="S96" s="30">
        <f>IF(AND([@Status]&lt;&gt;"Closed",[@CAR_Due]&lt;&gt;"",[@CAR_Due]&lt;TODAY()),1,0)</f>
        <v/>
      </c>
      <c r="T96" s="30">
        <f>IF(AND([@Status]&lt;&gt;"Closed",[@CAR_Due]&lt;&gt;"",[@CAR_Due]&lt;TODAY()),TODAY()-[@CAR_Due],0)</f>
        <v/>
      </c>
    </row>
    <row r="97">
      <c r="A97" s="28" t="inlineStr">
        <is>
          <t>INC-0092</t>
        </is>
      </c>
      <c r="B97" s="29" t="n">
        <v>45820</v>
      </c>
      <c r="C97" s="28">
        <f>YEAR([@Date])</f>
        <v/>
      </c>
      <c r="D97" s="28">
        <f>TEXT([@Date],"mmm")</f>
        <v/>
      </c>
      <c r="E97" s="30">
        <f>MONTH([@Date])</f>
        <v/>
      </c>
      <c r="F97" s="28" t="inlineStr">
        <is>
          <t>Security Gatehouse</t>
        </is>
      </c>
      <c r="G97" s="28" t="inlineStr">
        <is>
          <t>Security</t>
        </is>
      </c>
      <c r="H97" s="28" t="inlineStr">
        <is>
          <t>G4S (Security)</t>
        </is>
      </c>
      <c r="I97" s="28" t="inlineStr">
        <is>
          <t>First Aid</t>
        </is>
      </c>
      <c r="J97" s="28" t="inlineStr">
        <is>
          <t>Environmental Release</t>
        </is>
      </c>
      <c r="K97" s="31" t="n">
        <v>1</v>
      </c>
      <c r="L97" s="28" t="inlineStr">
        <is>
          <t>Closed</t>
        </is>
      </c>
      <c r="M97" s="29" t="n">
        <v>45820</v>
      </c>
      <c r="N97" s="29" t="n"/>
      <c r="O97" s="28" t="inlineStr">
        <is>
          <t>M. Quaye</t>
        </is>
      </c>
      <c r="P97" s="30">
        <f>IF(OR([@Type]="Lost Time Injury",[@Type]="Restricted Work",[@Type]="Medical Treatment"),1,0)</f>
        <v/>
      </c>
      <c r="Q97" s="30">
        <f>IF([@Type]="Lost Time Injury",1,0)</f>
        <v/>
      </c>
      <c r="R97" s="32">
        <f>IF([@Type]="Lost Time Injury",[@Date],"")</f>
        <v/>
      </c>
      <c r="S97" s="30">
        <f>IF(AND([@Status]&lt;&gt;"Closed",[@CAR_Due]&lt;&gt;"",[@CAR_Due]&lt;TODAY()),1,0)</f>
        <v/>
      </c>
      <c r="T97" s="30">
        <f>IF(AND([@Status]&lt;&gt;"Closed",[@CAR_Due]&lt;&gt;"",[@CAR_Due]&lt;TODAY()),TODAY()-[@CAR_Due],0)</f>
        <v/>
      </c>
    </row>
    <row r="98">
      <c r="A98" s="28" t="inlineStr">
        <is>
          <t>INC-0093</t>
        </is>
      </c>
      <c r="B98" s="29" t="n">
        <v>45832</v>
      </c>
      <c r="C98" s="28">
        <f>YEAR([@Date])</f>
        <v/>
      </c>
      <c r="D98" s="28">
        <f>TEXT([@Date],"mmm")</f>
        <v/>
      </c>
      <c r="E98" s="30">
        <f>MONTH([@Date])</f>
        <v/>
      </c>
      <c r="F98" s="28" t="inlineStr">
        <is>
          <t>HME Workshop</t>
        </is>
      </c>
      <c r="G98" s="28" t="inlineStr">
        <is>
          <t>Engineering</t>
        </is>
      </c>
      <c r="H98" s="28" t="inlineStr">
        <is>
          <t>Owner (Asanko)</t>
        </is>
      </c>
      <c r="I98" s="28" t="inlineStr">
        <is>
          <t>Other</t>
        </is>
      </c>
      <c r="J98" s="28" t="inlineStr">
        <is>
          <t>Environmental Release</t>
        </is>
      </c>
      <c r="K98" s="31" t="n">
        <v>2</v>
      </c>
      <c r="L98" s="28" t="inlineStr">
        <is>
          <t>Under Investigation</t>
        </is>
      </c>
      <c r="M98" s="29" t="n">
        <v>45833</v>
      </c>
      <c r="N98" s="29" t="n"/>
      <c r="O98" s="28" t="inlineStr">
        <is>
          <t>D. Tetteh</t>
        </is>
      </c>
      <c r="P98" s="30">
        <f>IF(OR([@Type]="Lost Time Injury",[@Type]="Restricted Work",[@Type]="Medical Treatment"),1,0)</f>
        <v/>
      </c>
      <c r="Q98" s="30">
        <f>IF([@Type]="Lost Time Injury",1,0)</f>
        <v/>
      </c>
      <c r="R98" s="32">
        <f>IF([@Type]="Lost Time Injury",[@Date],"")</f>
        <v/>
      </c>
      <c r="S98" s="30">
        <f>IF(AND([@Status]&lt;&gt;"Closed",[@CAR_Due]&lt;&gt;"",[@CAR_Due]&lt;TODAY()),1,0)</f>
        <v/>
      </c>
      <c r="T98" s="30">
        <f>IF(AND([@Status]&lt;&gt;"Closed",[@CAR_Due]&lt;&gt;"",[@CAR_Due]&lt;TODAY()),TODAY()-[@CAR_Due],0)</f>
        <v/>
      </c>
    </row>
    <row r="99">
      <c r="A99" s="28" t="inlineStr">
        <is>
          <t>INC-0094</t>
        </is>
      </c>
      <c r="B99" s="29" t="n">
        <v>45822</v>
      </c>
      <c r="C99" s="28">
        <f>YEAR([@Date])</f>
        <v/>
      </c>
      <c r="D99" s="28">
        <f>TEXT([@Date],"mmm")</f>
        <v/>
      </c>
      <c r="E99" s="30">
        <f>MONTH([@Date])</f>
        <v/>
      </c>
      <c r="F99" s="28" t="inlineStr">
        <is>
          <t>Explosives Magazine</t>
        </is>
      </c>
      <c r="G99" s="28" t="inlineStr">
        <is>
          <t>Mining</t>
        </is>
      </c>
      <c r="H99" s="28" t="inlineStr">
        <is>
          <t>Maxam (Blasting)</t>
        </is>
      </c>
      <c r="I99" s="28" t="inlineStr">
        <is>
          <t>Property Damage</t>
        </is>
      </c>
      <c r="J99" s="28" t="inlineStr">
        <is>
          <t>Electrical</t>
        </is>
      </c>
      <c r="K99" s="31" t="n">
        <v>4</v>
      </c>
      <c r="L99" s="28" t="inlineStr">
        <is>
          <t>Closed</t>
        </is>
      </c>
      <c r="M99" s="29" t="n">
        <v>45822</v>
      </c>
      <c r="N99" s="29" t="n">
        <v>45848</v>
      </c>
      <c r="O99" s="28" t="inlineStr">
        <is>
          <t>Y. Darko</t>
        </is>
      </c>
      <c r="P99" s="30">
        <f>IF(OR([@Type]="Lost Time Injury",[@Type]="Restricted Work",[@Type]="Medical Treatment"),1,0)</f>
        <v/>
      </c>
      <c r="Q99" s="30">
        <f>IF([@Type]="Lost Time Injury",1,0)</f>
        <v/>
      </c>
      <c r="R99" s="32">
        <f>IF([@Type]="Lost Time Injury",[@Date],"")</f>
        <v/>
      </c>
      <c r="S99" s="30">
        <f>IF(AND([@Status]&lt;&gt;"Closed",[@CAR_Due]&lt;&gt;"",[@CAR_Due]&lt;TODAY()),1,0)</f>
        <v/>
      </c>
      <c r="T99" s="30">
        <f>IF(AND([@Status]&lt;&gt;"Closed",[@CAR_Due]&lt;&gt;"",[@CAR_Due]&lt;TODAY()),TODAY()-[@CAR_Due],0)</f>
        <v/>
      </c>
    </row>
    <row r="100">
      <c r="A100" s="28" t="inlineStr">
        <is>
          <t>INC-0095</t>
        </is>
      </c>
      <c r="B100" s="29" t="n">
        <v>45827</v>
      </c>
      <c r="C100" s="28">
        <f>YEAR([@Date])</f>
        <v/>
      </c>
      <c r="D100" s="28">
        <f>TEXT([@Date],"mmm")</f>
        <v/>
      </c>
      <c r="E100" s="30">
        <f>MONTH([@Date])</f>
        <v/>
      </c>
      <c r="F100" s="28" t="inlineStr">
        <is>
          <t>Nkran Open Pit</t>
        </is>
      </c>
      <c r="G100" s="28" t="inlineStr">
        <is>
          <t>Mining</t>
        </is>
      </c>
      <c r="H100" s="28" t="inlineStr">
        <is>
          <t>AUMS (Mining Contractor)</t>
        </is>
      </c>
      <c r="I100" s="28" t="inlineStr">
        <is>
          <t>First Aid</t>
        </is>
      </c>
      <c r="J100" s="28" t="inlineStr">
        <is>
          <t>Vehicle / Mobile Equipment</t>
        </is>
      </c>
      <c r="K100" s="31" t="n">
        <v>2</v>
      </c>
      <c r="L100" s="28" t="inlineStr">
        <is>
          <t>Closed</t>
        </is>
      </c>
      <c r="M100" s="29" t="n">
        <v>45829</v>
      </c>
      <c r="N100" s="29" t="n"/>
      <c r="O100" s="28" t="inlineStr">
        <is>
          <t>F. Agyeman</t>
        </is>
      </c>
      <c r="P100" s="30">
        <f>IF(OR([@Type]="Lost Time Injury",[@Type]="Restricted Work",[@Type]="Medical Treatment"),1,0)</f>
        <v/>
      </c>
      <c r="Q100" s="30">
        <f>IF([@Type]="Lost Time Injury",1,0)</f>
        <v/>
      </c>
      <c r="R100" s="32">
        <f>IF([@Type]="Lost Time Injury",[@Date],"")</f>
        <v/>
      </c>
      <c r="S100" s="30">
        <f>IF(AND([@Status]&lt;&gt;"Closed",[@CAR_Due]&lt;&gt;"",[@CAR_Due]&lt;TODAY()),1,0)</f>
        <v/>
      </c>
      <c r="T100" s="30">
        <f>IF(AND([@Status]&lt;&gt;"Closed",[@CAR_Due]&lt;&gt;"",[@CAR_Due]&lt;TODAY()),TODAY()-[@CAR_Due],0)</f>
        <v/>
      </c>
    </row>
    <row r="101">
      <c r="A101" s="28" t="inlineStr">
        <is>
          <t>INC-0096</t>
        </is>
      </c>
      <c r="B101" s="29" t="n">
        <v>45819</v>
      </c>
      <c r="C101" s="28">
        <f>YEAR([@Date])</f>
        <v/>
      </c>
      <c r="D101" s="28">
        <f>TEXT([@Date],"mmm")</f>
        <v/>
      </c>
      <c r="E101" s="30">
        <f>MONTH([@Date])</f>
        <v/>
      </c>
      <c r="F101" s="28" t="inlineStr">
        <is>
          <t>Water Treatment</t>
        </is>
      </c>
      <c r="G101" s="28" t="inlineStr">
        <is>
          <t>Environment</t>
        </is>
      </c>
      <c r="H101" s="28" t="inlineStr">
        <is>
          <t>Owner (Asanko)</t>
        </is>
      </c>
      <c r="I101" s="28" t="inlineStr">
        <is>
          <t>Other</t>
        </is>
      </c>
      <c r="J101" s="28" t="inlineStr">
        <is>
          <t>Caught Between / Struck By</t>
        </is>
      </c>
      <c r="K101" s="31" t="n">
        <v>1</v>
      </c>
      <c r="L101" s="28" t="inlineStr">
        <is>
          <t>Closed</t>
        </is>
      </c>
      <c r="M101" s="29" t="n">
        <v>45821</v>
      </c>
      <c r="N101" s="29" t="n"/>
      <c r="O101" s="28" t="inlineStr">
        <is>
          <t>A. Owusu</t>
        </is>
      </c>
      <c r="P101" s="30">
        <f>IF(OR([@Type]="Lost Time Injury",[@Type]="Restricted Work",[@Type]="Medical Treatment"),1,0)</f>
        <v/>
      </c>
      <c r="Q101" s="30">
        <f>IF([@Type]="Lost Time Injury",1,0)</f>
        <v/>
      </c>
      <c r="R101" s="32">
        <f>IF([@Type]="Lost Time Injury",[@Date],"")</f>
        <v/>
      </c>
      <c r="S101" s="30">
        <f>IF(AND([@Status]&lt;&gt;"Closed",[@CAR_Due]&lt;&gt;"",[@CAR_Due]&lt;TODAY()),1,0)</f>
        <v/>
      </c>
      <c r="T101" s="30">
        <f>IF(AND([@Status]&lt;&gt;"Closed",[@CAR_Due]&lt;&gt;"",[@CAR_Due]&lt;TODAY()),TODAY()-[@CAR_Due],0)</f>
        <v/>
      </c>
    </row>
    <row r="102">
      <c r="A102" s="28" t="inlineStr">
        <is>
          <t>INC-0097</t>
        </is>
      </c>
      <c r="B102" s="29" t="n">
        <v>45829</v>
      </c>
      <c r="C102" s="28">
        <f>YEAR([@Date])</f>
        <v/>
      </c>
      <c r="D102" s="28">
        <f>TEXT([@Date],"mmm")</f>
        <v/>
      </c>
      <c r="E102" s="30">
        <f>MONTH([@Date])</f>
        <v/>
      </c>
      <c r="F102" s="28" t="inlineStr">
        <is>
          <t>Explosives Magazine</t>
        </is>
      </c>
      <c r="G102" s="28" t="inlineStr">
        <is>
          <t>Mining</t>
        </is>
      </c>
      <c r="H102" s="28" t="inlineStr">
        <is>
          <t>Maxam (Blasting)</t>
        </is>
      </c>
      <c r="I102" s="28" t="inlineStr">
        <is>
          <t>Other</t>
        </is>
      </c>
      <c r="J102" s="28" t="inlineStr">
        <is>
          <t>Slip / Trip / Fall</t>
        </is>
      </c>
      <c r="K102" s="31" t="n">
        <v>1</v>
      </c>
      <c r="L102" s="28" t="inlineStr">
        <is>
          <t>Closed</t>
        </is>
      </c>
      <c r="M102" s="29" t="n">
        <v>45829</v>
      </c>
      <c r="N102" s="29" t="n"/>
      <c r="O102" s="28" t="inlineStr">
        <is>
          <t>M. Quaye</t>
        </is>
      </c>
      <c r="P102" s="30">
        <f>IF(OR([@Type]="Lost Time Injury",[@Type]="Restricted Work",[@Type]="Medical Treatment"),1,0)</f>
        <v/>
      </c>
      <c r="Q102" s="30">
        <f>IF([@Type]="Lost Time Injury",1,0)</f>
        <v/>
      </c>
      <c r="R102" s="32">
        <f>IF([@Type]="Lost Time Injury",[@Date],"")</f>
        <v/>
      </c>
      <c r="S102" s="30">
        <f>IF(AND([@Status]&lt;&gt;"Closed",[@CAR_Due]&lt;&gt;"",[@CAR_Due]&lt;TODAY()),1,0)</f>
        <v/>
      </c>
      <c r="T102" s="30">
        <f>IF(AND([@Status]&lt;&gt;"Closed",[@CAR_Due]&lt;&gt;"",[@CAR_Due]&lt;TODAY()),TODAY()-[@CAR_Due],0)</f>
        <v/>
      </c>
    </row>
    <row r="103">
      <c r="A103" s="28" t="inlineStr">
        <is>
          <t>INC-0098</t>
        </is>
      </c>
      <c r="B103" s="29" t="n">
        <v>45833</v>
      </c>
      <c r="C103" s="28">
        <f>YEAR([@Date])</f>
        <v/>
      </c>
      <c r="D103" s="28">
        <f>TEXT([@Date],"mmm")</f>
        <v/>
      </c>
      <c r="E103" s="30">
        <f>MONTH([@Date])</f>
        <v/>
      </c>
      <c r="F103" s="28" t="inlineStr">
        <is>
          <t>Elution &amp; Gold Room</t>
        </is>
      </c>
      <c r="G103" s="28" t="inlineStr">
        <is>
          <t>Processing</t>
        </is>
      </c>
      <c r="H103" s="28" t="inlineStr">
        <is>
          <t>Owner (Asanko)</t>
        </is>
      </c>
      <c r="I103" s="28" t="inlineStr">
        <is>
          <t>Other</t>
        </is>
      </c>
      <c r="J103" s="28" t="inlineStr">
        <is>
          <t>Vehicle / Mobile Equipment</t>
        </is>
      </c>
      <c r="K103" s="31" t="n">
        <v>1</v>
      </c>
      <c r="L103" s="28" t="inlineStr">
        <is>
          <t>Closed</t>
        </is>
      </c>
      <c r="M103" s="29" t="n">
        <v>45835</v>
      </c>
      <c r="N103" s="29" t="n"/>
      <c r="O103" s="28" t="inlineStr">
        <is>
          <t>A. Owusu</t>
        </is>
      </c>
      <c r="P103" s="30">
        <f>IF(OR([@Type]="Lost Time Injury",[@Type]="Restricted Work",[@Type]="Medical Treatment"),1,0)</f>
        <v/>
      </c>
      <c r="Q103" s="30">
        <f>IF([@Type]="Lost Time Injury",1,0)</f>
        <v/>
      </c>
      <c r="R103" s="32">
        <f>IF([@Type]="Lost Time Injury",[@Date],"")</f>
        <v/>
      </c>
      <c r="S103" s="30">
        <f>IF(AND([@Status]&lt;&gt;"Closed",[@CAR_Due]&lt;&gt;"",[@CAR_Due]&lt;TODAY()),1,0)</f>
        <v/>
      </c>
      <c r="T103" s="30">
        <f>IF(AND([@Status]&lt;&gt;"Closed",[@CAR_Due]&lt;&gt;"",[@CAR_Due]&lt;TODAY()),TODAY()-[@CAR_Due],0)</f>
        <v/>
      </c>
    </row>
    <row r="104">
      <c r="A104" s="28" t="inlineStr">
        <is>
          <t>INC-0099</t>
        </is>
      </c>
      <c r="B104" s="29" t="n">
        <v>45831</v>
      </c>
      <c r="C104" s="28">
        <f>YEAR([@Date])</f>
        <v/>
      </c>
      <c r="D104" s="28">
        <f>TEXT([@Date],"mmm")</f>
        <v/>
      </c>
      <c r="E104" s="30">
        <f>MONTH([@Date])</f>
        <v/>
      </c>
      <c r="F104" s="28" t="inlineStr">
        <is>
          <t>Assay Laboratory</t>
        </is>
      </c>
      <c r="G104" s="28" t="inlineStr">
        <is>
          <t>Laboratory</t>
        </is>
      </c>
      <c r="H104" s="28" t="inlineStr">
        <is>
          <t>SGS (Laboratory)</t>
        </is>
      </c>
      <c r="I104" s="28" t="inlineStr">
        <is>
          <t>Other</t>
        </is>
      </c>
      <c r="J104" s="28" t="inlineStr">
        <is>
          <t>Slip / Trip / Fall</t>
        </is>
      </c>
      <c r="K104" s="31" t="n">
        <v>2</v>
      </c>
      <c r="L104" s="28" t="inlineStr">
        <is>
          <t>Closed</t>
        </is>
      </c>
      <c r="M104" s="29" t="n">
        <v>45832</v>
      </c>
      <c r="N104" s="29" t="n"/>
      <c r="O104" s="28" t="inlineStr">
        <is>
          <t>D. Tetteh</t>
        </is>
      </c>
      <c r="P104" s="30">
        <f>IF(OR([@Type]="Lost Time Injury",[@Type]="Restricted Work",[@Type]="Medical Treatment"),1,0)</f>
        <v/>
      </c>
      <c r="Q104" s="30">
        <f>IF([@Type]="Lost Time Injury",1,0)</f>
        <v/>
      </c>
      <c r="R104" s="32">
        <f>IF([@Type]="Lost Time Injury",[@Date],"")</f>
        <v/>
      </c>
      <c r="S104" s="30">
        <f>IF(AND([@Status]&lt;&gt;"Closed",[@CAR_Due]&lt;&gt;"",[@CAR_Due]&lt;TODAY()),1,0)</f>
        <v/>
      </c>
      <c r="T104" s="30">
        <f>IF(AND([@Status]&lt;&gt;"Closed",[@CAR_Due]&lt;&gt;"",[@CAR_Due]&lt;TODAY()),TODAY()-[@CAR_Due],0)</f>
        <v/>
      </c>
    </row>
    <row r="105">
      <c r="A105" s="28" t="inlineStr">
        <is>
          <t>INC-0100</t>
        </is>
      </c>
      <c r="B105" s="29" t="n">
        <v>45823</v>
      </c>
      <c r="C105" s="28">
        <f>YEAR([@Date])</f>
        <v/>
      </c>
      <c r="D105" s="28">
        <f>TEXT([@Date],"mmm")</f>
        <v/>
      </c>
      <c r="E105" s="30">
        <f>MONTH([@Date])</f>
        <v/>
      </c>
      <c r="F105" s="28" t="inlineStr">
        <is>
          <t>Haul Roads</t>
        </is>
      </c>
      <c r="G105" s="28" t="inlineStr">
        <is>
          <t>Mining</t>
        </is>
      </c>
      <c r="H105" s="28" t="inlineStr">
        <is>
          <t>AUMS (Mining Contractor)</t>
        </is>
      </c>
      <c r="I105" s="28" t="inlineStr">
        <is>
          <t>First Aid</t>
        </is>
      </c>
      <c r="J105" s="28" t="inlineStr">
        <is>
          <t>Personal Injury</t>
        </is>
      </c>
      <c r="K105" s="31" t="n">
        <v>1</v>
      </c>
      <c r="L105" s="28" t="inlineStr">
        <is>
          <t>Closed</t>
        </is>
      </c>
      <c r="M105" s="29" t="n">
        <v>45823</v>
      </c>
      <c r="N105" s="29" t="n"/>
      <c r="O105" s="28" t="inlineStr">
        <is>
          <t>Y. Darko</t>
        </is>
      </c>
      <c r="P105" s="30">
        <f>IF(OR([@Type]="Lost Time Injury",[@Type]="Restricted Work",[@Type]="Medical Treatment"),1,0)</f>
        <v/>
      </c>
      <c r="Q105" s="30">
        <f>IF([@Type]="Lost Time Injury",1,0)</f>
        <v/>
      </c>
      <c r="R105" s="32">
        <f>IF([@Type]="Lost Time Injury",[@Date],"")</f>
        <v/>
      </c>
      <c r="S105" s="30">
        <f>IF(AND([@Status]&lt;&gt;"Closed",[@CAR_Due]&lt;&gt;"",[@CAR_Due]&lt;TODAY()),1,0)</f>
        <v/>
      </c>
      <c r="T105" s="30">
        <f>IF(AND([@Status]&lt;&gt;"Closed",[@CAR_Due]&lt;&gt;"",[@CAR_Due]&lt;TODAY()),TODAY()-[@CAR_Due],0)</f>
        <v/>
      </c>
    </row>
    <row r="106">
      <c r="A106" s="28" t="inlineStr">
        <is>
          <t>INC-0101</t>
        </is>
      </c>
      <c r="B106" s="29" t="n">
        <v>45848</v>
      </c>
      <c r="C106" s="28">
        <f>YEAR([@Date])</f>
        <v/>
      </c>
      <c r="D106" s="28">
        <f>TEXT([@Date],"mmm")</f>
        <v/>
      </c>
      <c r="E106" s="30">
        <f>MONTH([@Date])</f>
        <v/>
      </c>
      <c r="F106" s="28" t="inlineStr">
        <is>
          <t>Nkran Open Pit</t>
        </is>
      </c>
      <c r="G106" s="28" t="inlineStr">
        <is>
          <t>Mining</t>
        </is>
      </c>
      <c r="H106" s="28" t="inlineStr">
        <is>
          <t>AUMS (Mining Contractor)</t>
        </is>
      </c>
      <c r="I106" s="28" t="inlineStr">
        <is>
          <t>First Aid</t>
        </is>
      </c>
      <c r="J106" s="28" t="inlineStr">
        <is>
          <t>Fire / Explosion</t>
        </is>
      </c>
      <c r="K106" s="31" t="n">
        <v>3</v>
      </c>
      <c r="L106" s="28" t="inlineStr">
        <is>
          <t>Closed</t>
        </is>
      </c>
      <c r="M106" s="29" t="n">
        <v>45849</v>
      </c>
      <c r="N106" s="29" t="n"/>
      <c r="O106" s="28" t="inlineStr">
        <is>
          <t>Y. Darko</t>
        </is>
      </c>
      <c r="P106" s="30">
        <f>IF(OR([@Type]="Lost Time Injury",[@Type]="Restricted Work",[@Type]="Medical Treatment"),1,0)</f>
        <v/>
      </c>
      <c r="Q106" s="30">
        <f>IF([@Type]="Lost Time Injury",1,0)</f>
        <v/>
      </c>
      <c r="R106" s="32">
        <f>IF([@Type]="Lost Time Injury",[@Date],"")</f>
        <v/>
      </c>
      <c r="S106" s="30">
        <f>IF(AND([@Status]&lt;&gt;"Closed",[@CAR_Due]&lt;&gt;"",[@CAR_Due]&lt;TODAY()),1,0)</f>
        <v/>
      </c>
      <c r="T106" s="30">
        <f>IF(AND([@Status]&lt;&gt;"Closed",[@CAR_Due]&lt;&gt;"",[@CAR_Due]&lt;TODAY()),TODAY()-[@CAR_Due],0)</f>
        <v/>
      </c>
    </row>
    <row r="107">
      <c r="A107" s="28" t="inlineStr">
        <is>
          <t>INC-0102</t>
        </is>
      </c>
      <c r="B107" s="29" t="n">
        <v>45859</v>
      </c>
      <c r="C107" s="28">
        <f>YEAR([@Date])</f>
        <v/>
      </c>
      <c r="D107" s="28">
        <f>TEXT([@Date],"mmm")</f>
        <v/>
      </c>
      <c r="E107" s="30">
        <f>MONTH([@Date])</f>
        <v/>
      </c>
      <c r="F107" s="28" t="inlineStr">
        <is>
          <t>HME Workshop</t>
        </is>
      </c>
      <c r="G107" s="28" t="inlineStr">
        <is>
          <t>Engineering</t>
        </is>
      </c>
      <c r="H107" s="28" t="inlineStr">
        <is>
          <t>Owner (Asanko)</t>
        </is>
      </c>
      <c r="I107" s="28" t="inlineStr">
        <is>
          <t>First Aid</t>
        </is>
      </c>
      <c r="J107" s="28" t="inlineStr">
        <is>
          <t>Chemical / Cyanide Spill</t>
        </is>
      </c>
      <c r="K107" s="31" t="n">
        <v>1</v>
      </c>
      <c r="L107" s="28" t="inlineStr">
        <is>
          <t>Closed</t>
        </is>
      </c>
      <c r="M107" s="29" t="n">
        <v>45859</v>
      </c>
      <c r="N107" s="29" t="n"/>
      <c r="O107" s="28" t="inlineStr">
        <is>
          <t>E. Asante</t>
        </is>
      </c>
      <c r="P107" s="30">
        <f>IF(OR([@Type]="Lost Time Injury",[@Type]="Restricted Work",[@Type]="Medical Treatment"),1,0)</f>
        <v/>
      </c>
      <c r="Q107" s="30">
        <f>IF([@Type]="Lost Time Injury",1,0)</f>
        <v/>
      </c>
      <c r="R107" s="32">
        <f>IF([@Type]="Lost Time Injury",[@Date],"")</f>
        <v/>
      </c>
      <c r="S107" s="30">
        <f>IF(AND([@Status]&lt;&gt;"Closed",[@CAR_Due]&lt;&gt;"",[@CAR_Due]&lt;TODAY()),1,0)</f>
        <v/>
      </c>
      <c r="T107" s="30">
        <f>IF(AND([@Status]&lt;&gt;"Closed",[@CAR_Due]&lt;&gt;"",[@CAR_Due]&lt;TODAY()),TODAY()-[@CAR_Due],0)</f>
        <v/>
      </c>
    </row>
    <row r="108">
      <c r="A108" s="28" t="inlineStr">
        <is>
          <t>INC-0103</t>
        </is>
      </c>
      <c r="B108" s="29" t="n">
        <v>45846</v>
      </c>
      <c r="C108" s="28">
        <f>YEAR([@Date])</f>
        <v/>
      </c>
      <c r="D108" s="28">
        <f>TEXT([@Date],"mmm")</f>
        <v/>
      </c>
      <c r="E108" s="30">
        <f>MONTH([@Date])</f>
        <v/>
      </c>
      <c r="F108" s="28" t="inlineStr">
        <is>
          <t>Administration</t>
        </is>
      </c>
      <c r="G108" s="28" t="inlineStr">
        <is>
          <t>Administration</t>
        </is>
      </c>
      <c r="H108" s="28" t="inlineStr">
        <is>
          <t>Owner (Asanko)</t>
        </is>
      </c>
      <c r="I108" s="28" t="inlineStr">
        <is>
          <t>First Aid</t>
        </is>
      </c>
      <c r="J108" s="28" t="inlineStr">
        <is>
          <t>Caught Between / Struck By</t>
        </is>
      </c>
      <c r="K108" s="31" t="n">
        <v>2</v>
      </c>
      <c r="L108" s="28" t="inlineStr">
        <is>
          <t>Closed</t>
        </is>
      </c>
      <c r="M108" s="29" t="n">
        <v>45848</v>
      </c>
      <c r="N108" s="29" t="n"/>
      <c r="O108" s="28" t="inlineStr">
        <is>
          <t>P. Annan</t>
        </is>
      </c>
      <c r="P108" s="30">
        <f>IF(OR([@Type]="Lost Time Injury",[@Type]="Restricted Work",[@Type]="Medical Treatment"),1,0)</f>
        <v/>
      </c>
      <c r="Q108" s="30">
        <f>IF([@Type]="Lost Time Injury",1,0)</f>
        <v/>
      </c>
      <c r="R108" s="32">
        <f>IF([@Type]="Lost Time Injury",[@Date],"")</f>
        <v/>
      </c>
      <c r="S108" s="30">
        <f>IF(AND([@Status]&lt;&gt;"Closed",[@CAR_Due]&lt;&gt;"",[@CAR_Due]&lt;TODAY()),1,0)</f>
        <v/>
      </c>
      <c r="T108" s="30">
        <f>IF(AND([@Status]&lt;&gt;"Closed",[@CAR_Due]&lt;&gt;"",[@CAR_Due]&lt;TODAY()),TODAY()-[@CAR_Due],0)</f>
        <v/>
      </c>
    </row>
    <row r="109">
      <c r="A109" s="28" t="inlineStr">
        <is>
          <t>INC-0104</t>
        </is>
      </c>
      <c r="B109" s="29" t="n">
        <v>45853</v>
      </c>
      <c r="C109" s="28">
        <f>YEAR([@Date])</f>
        <v/>
      </c>
      <c r="D109" s="28">
        <f>TEXT([@Date],"mmm")</f>
        <v/>
      </c>
      <c r="E109" s="30">
        <f>MONTH([@Date])</f>
        <v/>
      </c>
      <c r="F109" s="28" t="inlineStr">
        <is>
          <t>Administration</t>
        </is>
      </c>
      <c r="G109" s="28" t="inlineStr">
        <is>
          <t>Administration</t>
        </is>
      </c>
      <c r="H109" s="28" t="inlineStr">
        <is>
          <t>Owner (Asanko)</t>
        </is>
      </c>
      <c r="I109" s="28" t="inlineStr">
        <is>
          <t>Other</t>
        </is>
      </c>
      <c r="J109" s="28" t="inlineStr">
        <is>
          <t>Environmental Release</t>
        </is>
      </c>
      <c r="K109" s="31" t="n">
        <v>2</v>
      </c>
      <c r="L109" s="28" t="inlineStr">
        <is>
          <t>Closed</t>
        </is>
      </c>
      <c r="M109" s="29" t="n">
        <v>45853</v>
      </c>
      <c r="N109" s="29" t="n"/>
      <c r="O109" s="28" t="inlineStr">
        <is>
          <t>J. Boateng</t>
        </is>
      </c>
      <c r="P109" s="30">
        <f>IF(OR([@Type]="Lost Time Injury",[@Type]="Restricted Work",[@Type]="Medical Treatment"),1,0)</f>
        <v/>
      </c>
      <c r="Q109" s="30">
        <f>IF([@Type]="Lost Time Injury",1,0)</f>
        <v/>
      </c>
      <c r="R109" s="32">
        <f>IF([@Type]="Lost Time Injury",[@Date],"")</f>
        <v/>
      </c>
      <c r="S109" s="30">
        <f>IF(AND([@Status]&lt;&gt;"Closed",[@CAR_Due]&lt;&gt;"",[@CAR_Due]&lt;TODAY()),1,0)</f>
        <v/>
      </c>
      <c r="T109" s="30">
        <f>IF(AND([@Status]&lt;&gt;"Closed",[@CAR_Due]&lt;&gt;"",[@CAR_Due]&lt;TODAY()),TODAY()-[@CAR_Due],0)</f>
        <v/>
      </c>
    </row>
    <row r="110">
      <c r="A110" s="28" t="inlineStr">
        <is>
          <t>INC-0105</t>
        </is>
      </c>
      <c r="B110" s="29" t="n">
        <v>45848</v>
      </c>
      <c r="C110" s="28">
        <f>YEAR([@Date])</f>
        <v/>
      </c>
      <c r="D110" s="28">
        <f>TEXT([@Date],"mmm")</f>
        <v/>
      </c>
      <c r="E110" s="30">
        <f>MONTH([@Date])</f>
        <v/>
      </c>
      <c r="F110" s="28" t="inlineStr">
        <is>
          <t>Warehouse &amp; Stores</t>
        </is>
      </c>
      <c r="G110" s="28" t="inlineStr">
        <is>
          <t>Logistics</t>
        </is>
      </c>
      <c r="H110" s="28" t="inlineStr">
        <is>
          <t>Owner (Asanko)</t>
        </is>
      </c>
      <c r="I110" s="28" t="inlineStr">
        <is>
          <t>First Aid</t>
        </is>
      </c>
      <c r="J110" s="28" t="inlineStr">
        <is>
          <t>Chemical / Cyanide Spill</t>
        </is>
      </c>
      <c r="K110" s="31" t="n">
        <v>2</v>
      </c>
      <c r="L110" s="28" t="inlineStr">
        <is>
          <t>Closed</t>
        </is>
      </c>
      <c r="M110" s="29" t="n">
        <v>45848</v>
      </c>
      <c r="N110" s="29" t="n"/>
      <c r="O110" s="28" t="inlineStr">
        <is>
          <t>D. Tetteh</t>
        </is>
      </c>
      <c r="P110" s="30">
        <f>IF(OR([@Type]="Lost Time Injury",[@Type]="Restricted Work",[@Type]="Medical Treatment"),1,0)</f>
        <v/>
      </c>
      <c r="Q110" s="30">
        <f>IF([@Type]="Lost Time Injury",1,0)</f>
        <v/>
      </c>
      <c r="R110" s="32">
        <f>IF([@Type]="Lost Time Injury",[@Date],"")</f>
        <v/>
      </c>
      <c r="S110" s="30">
        <f>IF(AND([@Status]&lt;&gt;"Closed",[@CAR_Due]&lt;&gt;"",[@CAR_Due]&lt;TODAY()),1,0)</f>
        <v/>
      </c>
      <c r="T110" s="30">
        <f>IF(AND([@Status]&lt;&gt;"Closed",[@CAR_Due]&lt;&gt;"",[@CAR_Due]&lt;TODAY()),TODAY()-[@CAR_Due],0)</f>
        <v/>
      </c>
    </row>
    <row r="111">
      <c r="A111" s="28" t="inlineStr">
        <is>
          <t>INC-0106</t>
        </is>
      </c>
      <c r="B111" s="29" t="n">
        <v>45854</v>
      </c>
      <c r="C111" s="28">
        <f>YEAR([@Date])</f>
        <v/>
      </c>
      <c r="D111" s="28">
        <f>TEXT([@Date],"mmm")</f>
        <v/>
      </c>
      <c r="E111" s="30">
        <f>MONTH([@Date])</f>
        <v/>
      </c>
      <c r="F111" s="28" t="inlineStr">
        <is>
          <t>Warehouse &amp; Stores</t>
        </is>
      </c>
      <c r="G111" s="28" t="inlineStr">
        <is>
          <t>Logistics</t>
        </is>
      </c>
      <c r="H111" s="28" t="inlineStr">
        <is>
          <t>Owner (Asanko)</t>
        </is>
      </c>
      <c r="I111" s="28" t="inlineStr">
        <is>
          <t>First Aid</t>
        </is>
      </c>
      <c r="J111" s="28" t="inlineStr">
        <is>
          <t>Other</t>
        </is>
      </c>
      <c r="K111" s="31" t="n">
        <v>1</v>
      </c>
      <c r="L111" s="28" t="inlineStr">
        <is>
          <t>Closed</t>
        </is>
      </c>
      <c r="M111" s="29" t="n">
        <v>45856</v>
      </c>
      <c r="N111" s="29" t="n"/>
      <c r="O111" s="28" t="inlineStr">
        <is>
          <t>J. Boateng</t>
        </is>
      </c>
      <c r="P111" s="30">
        <f>IF(OR([@Type]="Lost Time Injury",[@Type]="Restricted Work",[@Type]="Medical Treatment"),1,0)</f>
        <v/>
      </c>
      <c r="Q111" s="30">
        <f>IF([@Type]="Lost Time Injury",1,0)</f>
        <v/>
      </c>
      <c r="R111" s="32">
        <f>IF([@Type]="Lost Time Injury",[@Date],"")</f>
        <v/>
      </c>
      <c r="S111" s="30">
        <f>IF(AND([@Status]&lt;&gt;"Closed",[@CAR_Due]&lt;&gt;"",[@CAR_Due]&lt;TODAY()),1,0)</f>
        <v/>
      </c>
      <c r="T111" s="30">
        <f>IF(AND([@Status]&lt;&gt;"Closed",[@CAR_Due]&lt;&gt;"",[@CAR_Due]&lt;TODAY()),TODAY()-[@CAR_Due],0)</f>
        <v/>
      </c>
    </row>
    <row r="112">
      <c r="A112" s="28" t="inlineStr">
        <is>
          <t>INC-0107</t>
        </is>
      </c>
      <c r="B112" s="29" t="n">
        <v>45869</v>
      </c>
      <c r="C112" s="28">
        <f>YEAR([@Date])</f>
        <v/>
      </c>
      <c r="D112" s="28">
        <f>TEXT([@Date],"mmm")</f>
        <v/>
      </c>
      <c r="E112" s="30">
        <f>MONTH([@Date])</f>
        <v/>
      </c>
      <c r="F112" s="28" t="inlineStr">
        <is>
          <t>Nkran Open Pit</t>
        </is>
      </c>
      <c r="G112" s="28" t="inlineStr">
        <is>
          <t>Mining</t>
        </is>
      </c>
      <c r="H112" s="28" t="inlineStr">
        <is>
          <t>AUMS (Mining Contractor)</t>
        </is>
      </c>
      <c r="I112" s="28" t="inlineStr">
        <is>
          <t>First Aid</t>
        </is>
      </c>
      <c r="J112" s="28" t="inlineStr">
        <is>
          <t>Environmental Release</t>
        </is>
      </c>
      <c r="K112" s="31" t="n">
        <v>1</v>
      </c>
      <c r="L112" s="28" t="inlineStr">
        <is>
          <t>Closed</t>
        </is>
      </c>
      <c r="M112" s="29" t="n">
        <v>45870</v>
      </c>
      <c r="N112" s="29" t="n"/>
      <c r="O112" s="28" t="inlineStr">
        <is>
          <t>E. Asante</t>
        </is>
      </c>
      <c r="P112" s="30">
        <f>IF(OR([@Type]="Lost Time Injury",[@Type]="Restricted Work",[@Type]="Medical Treatment"),1,0)</f>
        <v/>
      </c>
      <c r="Q112" s="30">
        <f>IF([@Type]="Lost Time Injury",1,0)</f>
        <v/>
      </c>
      <c r="R112" s="32">
        <f>IF([@Type]="Lost Time Injury",[@Date],"")</f>
        <v/>
      </c>
      <c r="S112" s="30">
        <f>IF(AND([@Status]&lt;&gt;"Closed",[@CAR_Due]&lt;&gt;"",[@CAR_Due]&lt;TODAY()),1,0)</f>
        <v/>
      </c>
      <c r="T112" s="30">
        <f>IF(AND([@Status]&lt;&gt;"Closed",[@CAR_Due]&lt;&gt;"",[@CAR_Due]&lt;TODAY()),TODAY()-[@CAR_Due],0)</f>
        <v/>
      </c>
    </row>
    <row r="113">
      <c r="A113" s="28" t="inlineStr">
        <is>
          <t>INC-0108</t>
        </is>
      </c>
      <c r="B113" s="29" t="n">
        <v>45840</v>
      </c>
      <c r="C113" s="28">
        <f>YEAR([@Date])</f>
        <v/>
      </c>
      <c r="D113" s="28">
        <f>TEXT([@Date],"mmm")</f>
        <v/>
      </c>
      <c r="E113" s="30">
        <f>MONTH([@Date])</f>
        <v/>
      </c>
      <c r="F113" s="28" t="inlineStr">
        <is>
          <t>Nkran Open Pit</t>
        </is>
      </c>
      <c r="G113" s="28" t="inlineStr">
        <is>
          <t>Mining</t>
        </is>
      </c>
      <c r="H113" s="28" t="inlineStr">
        <is>
          <t>AUMS (Mining Contractor)</t>
        </is>
      </c>
      <c r="I113" s="28" t="inlineStr">
        <is>
          <t>First Aid</t>
        </is>
      </c>
      <c r="J113" s="28" t="inlineStr">
        <is>
          <t>Personal Injury</t>
        </is>
      </c>
      <c r="K113" s="31" t="n">
        <v>1</v>
      </c>
      <c r="L113" s="28" t="inlineStr">
        <is>
          <t>Closed</t>
        </is>
      </c>
      <c r="M113" s="29" t="n">
        <v>45842</v>
      </c>
      <c r="N113" s="29" t="n"/>
      <c r="O113" s="28" t="inlineStr">
        <is>
          <t>P. Annan</t>
        </is>
      </c>
      <c r="P113" s="30">
        <f>IF(OR([@Type]="Lost Time Injury",[@Type]="Restricted Work",[@Type]="Medical Treatment"),1,0)</f>
        <v/>
      </c>
      <c r="Q113" s="30">
        <f>IF([@Type]="Lost Time Injury",1,0)</f>
        <v/>
      </c>
      <c r="R113" s="32">
        <f>IF([@Type]="Lost Time Injury",[@Date],"")</f>
        <v/>
      </c>
      <c r="S113" s="30">
        <f>IF(AND([@Status]&lt;&gt;"Closed",[@CAR_Due]&lt;&gt;"",[@CAR_Due]&lt;TODAY()),1,0)</f>
        <v/>
      </c>
      <c r="T113" s="30">
        <f>IF(AND([@Status]&lt;&gt;"Closed",[@CAR_Due]&lt;&gt;"",[@CAR_Due]&lt;TODAY()),TODAY()-[@CAR_Due],0)</f>
        <v/>
      </c>
    </row>
    <row r="114">
      <c r="A114" s="28" t="inlineStr">
        <is>
          <t>INC-0109</t>
        </is>
      </c>
      <c r="B114" s="29" t="n">
        <v>45846</v>
      </c>
      <c r="C114" s="28">
        <f>YEAR([@Date])</f>
        <v/>
      </c>
      <c r="D114" s="28">
        <f>TEXT([@Date],"mmm")</f>
        <v/>
      </c>
      <c r="E114" s="30">
        <f>MONTH([@Date])</f>
        <v/>
      </c>
      <c r="F114" s="28" t="inlineStr">
        <is>
          <t>Haul Roads</t>
        </is>
      </c>
      <c r="G114" s="28" t="inlineStr">
        <is>
          <t>Mining</t>
        </is>
      </c>
      <c r="H114" s="28" t="inlineStr">
        <is>
          <t>AUMS (Mining Contractor)</t>
        </is>
      </c>
      <c r="I114" s="28" t="inlineStr">
        <is>
          <t>First Aid</t>
        </is>
      </c>
      <c r="J114" s="28" t="inlineStr">
        <is>
          <t>Chemical / Cyanide Spill</t>
        </is>
      </c>
      <c r="K114" s="31" t="n">
        <v>1</v>
      </c>
      <c r="L114" s="28" t="inlineStr">
        <is>
          <t>Open</t>
        </is>
      </c>
      <c r="M114" s="29" t="n">
        <v>45847</v>
      </c>
      <c r="N114" s="29" t="n"/>
      <c r="O114" s="28" t="inlineStr">
        <is>
          <t>A. Owusu</t>
        </is>
      </c>
      <c r="P114" s="30">
        <f>IF(OR([@Type]="Lost Time Injury",[@Type]="Restricted Work",[@Type]="Medical Treatment"),1,0)</f>
        <v/>
      </c>
      <c r="Q114" s="30">
        <f>IF([@Type]="Lost Time Injury",1,0)</f>
        <v/>
      </c>
      <c r="R114" s="32">
        <f>IF([@Type]="Lost Time Injury",[@Date],"")</f>
        <v/>
      </c>
      <c r="S114" s="30">
        <f>IF(AND([@Status]&lt;&gt;"Closed",[@CAR_Due]&lt;&gt;"",[@CAR_Due]&lt;TODAY()),1,0)</f>
        <v/>
      </c>
      <c r="T114" s="30">
        <f>IF(AND([@Status]&lt;&gt;"Closed",[@CAR_Due]&lt;&gt;"",[@CAR_Due]&lt;TODAY()),TODAY()-[@CAR_Due],0)</f>
        <v/>
      </c>
    </row>
    <row r="115">
      <c r="A115" s="28" t="inlineStr">
        <is>
          <t>INC-0110</t>
        </is>
      </c>
      <c r="B115" s="29" t="n">
        <v>45885</v>
      </c>
      <c r="C115" s="28">
        <f>YEAR([@Date])</f>
        <v/>
      </c>
      <c r="D115" s="28">
        <f>TEXT([@Date],"mmm")</f>
        <v/>
      </c>
      <c r="E115" s="30">
        <f>MONTH([@Date])</f>
        <v/>
      </c>
      <c r="F115" s="28" t="inlineStr">
        <is>
          <t>Esaase Open Pit</t>
        </is>
      </c>
      <c r="G115" s="28" t="inlineStr">
        <is>
          <t>Mining</t>
        </is>
      </c>
      <c r="H115" s="28" t="inlineStr">
        <is>
          <t>AUMS (Mining Contractor)</t>
        </is>
      </c>
      <c r="I115" s="28" t="inlineStr">
        <is>
          <t>Restricted Work</t>
        </is>
      </c>
      <c r="J115" s="28" t="inlineStr">
        <is>
          <t>Slip / Trip / Fall</t>
        </is>
      </c>
      <c r="K115" s="31" t="n">
        <v>2</v>
      </c>
      <c r="L115" s="28" t="inlineStr">
        <is>
          <t>Closed</t>
        </is>
      </c>
      <c r="M115" s="29" t="n">
        <v>45886</v>
      </c>
      <c r="N115" s="29" t="n">
        <v>45920</v>
      </c>
      <c r="O115" s="28" t="inlineStr">
        <is>
          <t>F. Agyeman</t>
        </is>
      </c>
      <c r="P115" s="30">
        <f>IF(OR([@Type]="Lost Time Injury",[@Type]="Restricted Work",[@Type]="Medical Treatment"),1,0)</f>
        <v/>
      </c>
      <c r="Q115" s="30">
        <f>IF([@Type]="Lost Time Injury",1,0)</f>
        <v/>
      </c>
      <c r="R115" s="32">
        <f>IF([@Type]="Lost Time Injury",[@Date],"")</f>
        <v/>
      </c>
      <c r="S115" s="30">
        <f>IF(AND([@Status]&lt;&gt;"Closed",[@CAR_Due]&lt;&gt;"",[@CAR_Due]&lt;TODAY()),1,0)</f>
        <v/>
      </c>
      <c r="T115" s="30">
        <f>IF(AND([@Status]&lt;&gt;"Closed",[@CAR_Due]&lt;&gt;"",[@CAR_Due]&lt;TODAY()),TODAY()-[@CAR_Due],0)</f>
        <v/>
      </c>
    </row>
    <row r="116">
      <c r="A116" s="28" t="inlineStr">
        <is>
          <t>INC-0111</t>
        </is>
      </c>
      <c r="B116" s="29" t="n">
        <v>45910</v>
      </c>
      <c r="C116" s="28">
        <f>YEAR([@Date])</f>
        <v/>
      </c>
      <c r="D116" s="28">
        <f>TEXT([@Date],"mmm")</f>
        <v/>
      </c>
      <c r="E116" s="30">
        <f>MONTH([@Date])</f>
        <v/>
      </c>
      <c r="F116" s="28" t="inlineStr">
        <is>
          <t>Power Station</t>
        </is>
      </c>
      <c r="G116" s="28" t="inlineStr">
        <is>
          <t>Engineering</t>
        </is>
      </c>
      <c r="H116" s="28" t="inlineStr">
        <is>
          <t>Genser (Power)</t>
        </is>
      </c>
      <c r="I116" s="28" t="inlineStr">
        <is>
          <t>Other</t>
        </is>
      </c>
      <c r="J116" s="28" t="inlineStr">
        <is>
          <t>Slip / Trip / Fall</t>
        </is>
      </c>
      <c r="K116" s="31" t="n">
        <v>1</v>
      </c>
      <c r="L116" s="28" t="inlineStr">
        <is>
          <t>Closed</t>
        </is>
      </c>
      <c r="M116" s="29" t="n">
        <v>45911</v>
      </c>
      <c r="N116" s="29" t="n"/>
      <c r="O116" s="28" t="inlineStr">
        <is>
          <t>A. Owusu</t>
        </is>
      </c>
      <c r="P116" s="30">
        <f>IF(OR([@Type]="Lost Time Injury",[@Type]="Restricted Work",[@Type]="Medical Treatment"),1,0)</f>
        <v/>
      </c>
      <c r="Q116" s="30">
        <f>IF([@Type]="Lost Time Injury",1,0)</f>
        <v/>
      </c>
      <c r="R116" s="32">
        <f>IF([@Type]="Lost Time Injury",[@Date],"")</f>
        <v/>
      </c>
      <c r="S116" s="30">
        <f>IF(AND([@Status]&lt;&gt;"Closed",[@CAR_Due]&lt;&gt;"",[@CAR_Due]&lt;TODAY()),1,0)</f>
        <v/>
      </c>
      <c r="T116" s="30">
        <f>IF(AND([@Status]&lt;&gt;"Closed",[@CAR_Due]&lt;&gt;"",[@CAR_Due]&lt;TODAY()),TODAY()-[@CAR_Due],0)</f>
        <v/>
      </c>
    </row>
    <row r="117">
      <c r="A117" s="28" t="inlineStr">
        <is>
          <t>INC-0112</t>
        </is>
      </c>
      <c r="B117" s="29" t="n">
        <v>45901</v>
      </c>
      <c r="C117" s="28">
        <f>YEAR([@Date])</f>
        <v/>
      </c>
      <c r="D117" s="28">
        <f>TEXT([@Date],"mmm")</f>
        <v/>
      </c>
      <c r="E117" s="30">
        <f>MONTH([@Date])</f>
        <v/>
      </c>
      <c r="F117" s="28" t="inlineStr">
        <is>
          <t>Drill &amp; Blast</t>
        </is>
      </c>
      <c r="G117" s="28" t="inlineStr">
        <is>
          <t>Mining</t>
        </is>
      </c>
      <c r="H117" s="28" t="inlineStr">
        <is>
          <t>Maxam (Blasting)</t>
        </is>
      </c>
      <c r="I117" s="28" t="inlineStr">
        <is>
          <t>First Aid</t>
        </is>
      </c>
      <c r="J117" s="28" t="inlineStr">
        <is>
          <t>Other</t>
        </is>
      </c>
      <c r="K117" s="31" t="n">
        <v>1</v>
      </c>
      <c r="L117" s="28" t="inlineStr">
        <is>
          <t>Open</t>
        </is>
      </c>
      <c r="M117" s="29" t="n">
        <v>45903</v>
      </c>
      <c r="N117" s="29" t="n"/>
      <c r="O117" s="28" t="inlineStr">
        <is>
          <t>A. Owusu</t>
        </is>
      </c>
      <c r="P117" s="30">
        <f>IF(OR([@Type]="Lost Time Injury",[@Type]="Restricted Work",[@Type]="Medical Treatment"),1,0)</f>
        <v/>
      </c>
      <c r="Q117" s="30">
        <f>IF([@Type]="Lost Time Injury",1,0)</f>
        <v/>
      </c>
      <c r="R117" s="32">
        <f>IF([@Type]="Lost Time Injury",[@Date],"")</f>
        <v/>
      </c>
      <c r="S117" s="30">
        <f>IF(AND([@Status]&lt;&gt;"Closed",[@CAR_Due]&lt;&gt;"",[@CAR_Due]&lt;TODAY()),1,0)</f>
        <v/>
      </c>
      <c r="T117" s="30">
        <f>IF(AND([@Status]&lt;&gt;"Closed",[@CAR_Due]&lt;&gt;"",[@CAR_Due]&lt;TODAY()),TODAY()-[@CAR_Due],0)</f>
        <v/>
      </c>
    </row>
    <row r="118">
      <c r="A118" s="28" t="inlineStr">
        <is>
          <t>INC-0113</t>
        </is>
      </c>
      <c r="B118" s="29" t="n">
        <v>45901</v>
      </c>
      <c r="C118" s="28">
        <f>YEAR([@Date])</f>
        <v/>
      </c>
      <c r="D118" s="28">
        <f>TEXT([@Date],"mmm")</f>
        <v/>
      </c>
      <c r="E118" s="30">
        <f>MONTH([@Date])</f>
        <v/>
      </c>
      <c r="F118" s="28" t="inlineStr">
        <is>
          <t>Warehouse &amp; Stores</t>
        </is>
      </c>
      <c r="G118" s="28" t="inlineStr">
        <is>
          <t>Logistics</t>
        </is>
      </c>
      <c r="H118" s="28" t="inlineStr">
        <is>
          <t>Owner (Asanko)</t>
        </is>
      </c>
      <c r="I118" s="28" t="inlineStr">
        <is>
          <t>First Aid</t>
        </is>
      </c>
      <c r="J118" s="28" t="inlineStr">
        <is>
          <t>Fire / Explosion</t>
        </is>
      </c>
      <c r="K118" s="31" t="n">
        <v>2</v>
      </c>
      <c r="L118" s="28" t="inlineStr">
        <is>
          <t>Closed</t>
        </is>
      </c>
      <c r="M118" s="29" t="n">
        <v>45902</v>
      </c>
      <c r="N118" s="29" t="n"/>
      <c r="O118" s="28" t="inlineStr">
        <is>
          <t>J. Boateng</t>
        </is>
      </c>
      <c r="P118" s="30">
        <f>IF(OR([@Type]="Lost Time Injury",[@Type]="Restricted Work",[@Type]="Medical Treatment"),1,0)</f>
        <v/>
      </c>
      <c r="Q118" s="30">
        <f>IF([@Type]="Lost Time Injury",1,0)</f>
        <v/>
      </c>
      <c r="R118" s="32">
        <f>IF([@Type]="Lost Time Injury",[@Date],"")</f>
        <v/>
      </c>
      <c r="S118" s="30">
        <f>IF(AND([@Status]&lt;&gt;"Closed",[@CAR_Due]&lt;&gt;"",[@CAR_Due]&lt;TODAY()),1,0)</f>
        <v/>
      </c>
      <c r="T118" s="30">
        <f>IF(AND([@Status]&lt;&gt;"Closed",[@CAR_Due]&lt;&gt;"",[@CAR_Due]&lt;TODAY()),TODAY()-[@CAR_Due],0)</f>
        <v/>
      </c>
    </row>
    <row r="119">
      <c r="A119" s="28" t="inlineStr">
        <is>
          <t>INC-0114</t>
        </is>
      </c>
      <c r="B119" s="29" t="n">
        <v>45909</v>
      </c>
      <c r="C119" s="28">
        <f>YEAR([@Date])</f>
        <v/>
      </c>
      <c r="D119" s="28">
        <f>TEXT([@Date],"mmm")</f>
        <v/>
      </c>
      <c r="E119" s="30">
        <f>MONTH([@Date])</f>
        <v/>
      </c>
      <c r="F119" s="28" t="inlineStr">
        <is>
          <t>Assay Laboratory</t>
        </is>
      </c>
      <c r="G119" s="28" t="inlineStr">
        <is>
          <t>Laboratory</t>
        </is>
      </c>
      <c r="H119" s="28" t="inlineStr">
        <is>
          <t>SGS (Laboratory)</t>
        </is>
      </c>
      <c r="I119" s="28" t="inlineStr">
        <is>
          <t>Other</t>
        </is>
      </c>
      <c r="J119" s="28" t="inlineStr">
        <is>
          <t>Slip / Trip / Fall</t>
        </is>
      </c>
      <c r="K119" s="31" t="n">
        <v>1</v>
      </c>
      <c r="L119" s="28" t="inlineStr">
        <is>
          <t>Closed</t>
        </is>
      </c>
      <c r="M119" s="29" t="n">
        <v>45911</v>
      </c>
      <c r="N119" s="29" t="n"/>
      <c r="O119" s="28" t="inlineStr">
        <is>
          <t>A. Owusu</t>
        </is>
      </c>
      <c r="P119" s="30">
        <f>IF(OR([@Type]="Lost Time Injury",[@Type]="Restricted Work",[@Type]="Medical Treatment"),1,0)</f>
        <v/>
      </c>
      <c r="Q119" s="30">
        <f>IF([@Type]="Lost Time Injury",1,0)</f>
        <v/>
      </c>
      <c r="R119" s="32">
        <f>IF([@Type]="Lost Time Injury",[@Date],"")</f>
        <v/>
      </c>
      <c r="S119" s="30">
        <f>IF(AND([@Status]&lt;&gt;"Closed",[@CAR_Due]&lt;&gt;"",[@CAR_Due]&lt;TODAY()),1,0)</f>
        <v/>
      </c>
      <c r="T119" s="30">
        <f>IF(AND([@Status]&lt;&gt;"Closed",[@CAR_Due]&lt;&gt;"",[@CAR_Due]&lt;TODAY()),TODAY()-[@CAR_Due],0)</f>
        <v/>
      </c>
    </row>
    <row r="120">
      <c r="A120" s="28" t="inlineStr">
        <is>
          <t>INC-0115</t>
        </is>
      </c>
      <c r="B120" s="29" t="n">
        <v>45924</v>
      </c>
      <c r="C120" s="28">
        <f>YEAR([@Date])</f>
        <v/>
      </c>
      <c r="D120" s="28">
        <f>TEXT([@Date],"mmm")</f>
        <v/>
      </c>
      <c r="E120" s="30">
        <f>MONTH([@Date])</f>
        <v/>
      </c>
      <c r="F120" s="28" t="inlineStr">
        <is>
          <t>Accommodation Camp</t>
        </is>
      </c>
      <c r="G120" s="28" t="inlineStr">
        <is>
          <t>Administration</t>
        </is>
      </c>
      <c r="H120" s="28" t="inlineStr">
        <is>
          <t>Catering Co (Camp)</t>
        </is>
      </c>
      <c r="I120" s="28" t="inlineStr">
        <is>
          <t>Other</t>
        </is>
      </c>
      <c r="J120" s="28" t="inlineStr">
        <is>
          <t>Other</t>
        </is>
      </c>
      <c r="K120" s="31" t="n">
        <v>1</v>
      </c>
      <c r="L120" s="28" t="inlineStr">
        <is>
          <t>Closed</t>
        </is>
      </c>
      <c r="M120" s="29" t="n">
        <v>45924</v>
      </c>
      <c r="N120" s="29" t="n"/>
      <c r="O120" s="28" t="inlineStr">
        <is>
          <t>D. Tetteh</t>
        </is>
      </c>
      <c r="P120" s="30">
        <f>IF(OR([@Type]="Lost Time Injury",[@Type]="Restricted Work",[@Type]="Medical Treatment"),1,0)</f>
        <v/>
      </c>
      <c r="Q120" s="30">
        <f>IF([@Type]="Lost Time Injury",1,0)</f>
        <v/>
      </c>
      <c r="R120" s="32">
        <f>IF([@Type]="Lost Time Injury",[@Date],"")</f>
        <v/>
      </c>
      <c r="S120" s="30">
        <f>IF(AND([@Status]&lt;&gt;"Closed",[@CAR_Due]&lt;&gt;"",[@CAR_Due]&lt;TODAY()),1,0)</f>
        <v/>
      </c>
      <c r="T120" s="30">
        <f>IF(AND([@Status]&lt;&gt;"Closed",[@CAR_Due]&lt;&gt;"",[@CAR_Due]&lt;TODAY()),TODAY()-[@CAR_Due],0)</f>
        <v/>
      </c>
    </row>
    <row r="121">
      <c r="A121" s="28" t="inlineStr">
        <is>
          <t>INC-0116</t>
        </is>
      </c>
      <c r="B121" s="29" t="n">
        <v>45953</v>
      </c>
      <c r="C121" s="28">
        <f>YEAR([@Date])</f>
        <v/>
      </c>
      <c r="D121" s="28">
        <f>TEXT([@Date],"mmm")</f>
        <v/>
      </c>
      <c r="E121" s="30">
        <f>MONTH([@Date])</f>
        <v/>
      </c>
      <c r="F121" s="28" t="inlineStr">
        <is>
          <t>Assay Laboratory</t>
        </is>
      </c>
      <c r="G121" s="28" t="inlineStr">
        <is>
          <t>Laboratory</t>
        </is>
      </c>
      <c r="H121" s="28" t="inlineStr">
        <is>
          <t>SGS (Laboratory)</t>
        </is>
      </c>
      <c r="I121" s="28" t="inlineStr">
        <is>
          <t>First Aid</t>
        </is>
      </c>
      <c r="J121" s="28" t="inlineStr">
        <is>
          <t>Electrical</t>
        </is>
      </c>
      <c r="K121" s="31" t="n">
        <v>1</v>
      </c>
      <c r="L121" s="28" t="inlineStr">
        <is>
          <t>Open</t>
        </is>
      </c>
      <c r="M121" s="29" t="n">
        <v>45954</v>
      </c>
      <c r="N121" s="29" t="n"/>
      <c r="O121" s="28" t="inlineStr">
        <is>
          <t>A. Owusu</t>
        </is>
      </c>
      <c r="P121" s="30">
        <f>IF(OR([@Type]="Lost Time Injury",[@Type]="Restricted Work",[@Type]="Medical Treatment"),1,0)</f>
        <v/>
      </c>
      <c r="Q121" s="30">
        <f>IF([@Type]="Lost Time Injury",1,0)</f>
        <v/>
      </c>
      <c r="R121" s="32">
        <f>IF([@Type]="Lost Time Injury",[@Date],"")</f>
        <v/>
      </c>
      <c r="S121" s="30">
        <f>IF(AND([@Status]&lt;&gt;"Closed",[@CAR_Due]&lt;&gt;"",[@CAR_Due]&lt;TODAY()),1,0)</f>
        <v/>
      </c>
      <c r="T121" s="30">
        <f>IF(AND([@Status]&lt;&gt;"Closed",[@CAR_Due]&lt;&gt;"",[@CAR_Due]&lt;TODAY()),TODAY()-[@CAR_Due],0)</f>
        <v/>
      </c>
    </row>
    <row r="122">
      <c r="A122" s="28" t="inlineStr">
        <is>
          <t>INC-0117</t>
        </is>
      </c>
      <c r="B122" s="29" t="n">
        <v>45953</v>
      </c>
      <c r="C122" s="28">
        <f>YEAR([@Date])</f>
        <v/>
      </c>
      <c r="D122" s="28">
        <f>TEXT([@Date],"mmm")</f>
        <v/>
      </c>
      <c r="E122" s="30">
        <f>MONTH([@Date])</f>
        <v/>
      </c>
      <c r="F122" s="28" t="inlineStr">
        <is>
          <t>HME Workshop</t>
        </is>
      </c>
      <c r="G122" s="28" t="inlineStr">
        <is>
          <t>Engineering</t>
        </is>
      </c>
      <c r="H122" s="28" t="inlineStr">
        <is>
          <t>Owner (Asanko)</t>
        </is>
      </c>
      <c r="I122" s="28" t="inlineStr">
        <is>
          <t>Environmental</t>
        </is>
      </c>
      <c r="J122" s="28" t="inlineStr">
        <is>
          <t>Occupational Illness</t>
        </is>
      </c>
      <c r="K122" s="31" t="n">
        <v>3</v>
      </c>
      <c r="L122" s="28" t="inlineStr">
        <is>
          <t>Closed</t>
        </is>
      </c>
      <c r="M122" s="29" t="n">
        <v>45955</v>
      </c>
      <c r="N122" s="29" t="n">
        <v>45983</v>
      </c>
      <c r="O122" s="28" t="inlineStr">
        <is>
          <t>Y. Darko</t>
        </is>
      </c>
      <c r="P122" s="30">
        <f>IF(OR([@Type]="Lost Time Injury",[@Type]="Restricted Work",[@Type]="Medical Treatment"),1,0)</f>
        <v/>
      </c>
      <c r="Q122" s="30">
        <f>IF([@Type]="Lost Time Injury",1,0)</f>
        <v/>
      </c>
      <c r="R122" s="32">
        <f>IF([@Type]="Lost Time Injury",[@Date],"")</f>
        <v/>
      </c>
      <c r="S122" s="30">
        <f>IF(AND([@Status]&lt;&gt;"Closed",[@CAR_Due]&lt;&gt;"",[@CAR_Due]&lt;TODAY()),1,0)</f>
        <v/>
      </c>
      <c r="T122" s="30">
        <f>IF(AND([@Status]&lt;&gt;"Closed",[@CAR_Due]&lt;&gt;"",[@CAR_Due]&lt;TODAY()),TODAY()-[@CAR_Due],0)</f>
        <v/>
      </c>
    </row>
    <row r="123">
      <c r="A123" s="28" t="inlineStr">
        <is>
          <t>INC-0118</t>
        </is>
      </c>
      <c r="B123" s="29" t="n">
        <v>45934</v>
      </c>
      <c r="C123" s="28">
        <f>YEAR([@Date])</f>
        <v/>
      </c>
      <c r="D123" s="28">
        <f>TEXT([@Date],"mmm")</f>
        <v/>
      </c>
      <c r="E123" s="30">
        <f>MONTH([@Date])</f>
        <v/>
      </c>
      <c r="F123" s="28" t="inlineStr">
        <is>
          <t>Explosives Magazine</t>
        </is>
      </c>
      <c r="G123" s="28" t="inlineStr">
        <is>
          <t>Mining</t>
        </is>
      </c>
      <c r="H123" s="28" t="inlineStr">
        <is>
          <t>Maxam (Blasting)</t>
        </is>
      </c>
      <c r="I123" s="28" t="inlineStr">
        <is>
          <t>First Aid</t>
        </is>
      </c>
      <c r="J123" s="28" t="inlineStr">
        <is>
          <t>Fire / Explosion</t>
        </is>
      </c>
      <c r="K123" s="31" t="n">
        <v>2</v>
      </c>
      <c r="L123" s="28" t="inlineStr">
        <is>
          <t>Closed</t>
        </is>
      </c>
      <c r="M123" s="29" t="n">
        <v>45934</v>
      </c>
      <c r="N123" s="29" t="n"/>
      <c r="O123" s="28" t="inlineStr">
        <is>
          <t>A. Owusu</t>
        </is>
      </c>
      <c r="P123" s="30">
        <f>IF(OR([@Type]="Lost Time Injury",[@Type]="Restricted Work",[@Type]="Medical Treatment"),1,0)</f>
        <v/>
      </c>
      <c r="Q123" s="30">
        <f>IF([@Type]="Lost Time Injury",1,0)</f>
        <v/>
      </c>
      <c r="R123" s="32">
        <f>IF([@Type]="Lost Time Injury",[@Date],"")</f>
        <v/>
      </c>
      <c r="S123" s="30">
        <f>IF(AND([@Status]&lt;&gt;"Closed",[@CAR_Due]&lt;&gt;"",[@CAR_Due]&lt;TODAY()),1,0)</f>
        <v/>
      </c>
      <c r="T123" s="30">
        <f>IF(AND([@Status]&lt;&gt;"Closed",[@CAR_Due]&lt;&gt;"",[@CAR_Due]&lt;TODAY()),TODAY()-[@CAR_Due],0)</f>
        <v/>
      </c>
    </row>
    <row r="124">
      <c r="A124" s="28" t="inlineStr">
        <is>
          <t>INC-0119</t>
        </is>
      </c>
      <c r="B124" s="29" t="n">
        <v>45948</v>
      </c>
      <c r="C124" s="28">
        <f>YEAR([@Date])</f>
        <v/>
      </c>
      <c r="D124" s="28">
        <f>TEXT([@Date],"mmm")</f>
        <v/>
      </c>
      <c r="E124" s="30">
        <f>MONTH([@Date])</f>
        <v/>
      </c>
      <c r="F124" s="28" t="inlineStr">
        <is>
          <t>Security Gatehouse</t>
        </is>
      </c>
      <c r="G124" s="28" t="inlineStr">
        <is>
          <t>Security</t>
        </is>
      </c>
      <c r="H124" s="28" t="inlineStr">
        <is>
          <t>G4S (Security)</t>
        </is>
      </c>
      <c r="I124" s="28" t="inlineStr">
        <is>
          <t>Medical Treatment</t>
        </is>
      </c>
      <c r="J124" s="28" t="inlineStr">
        <is>
          <t>Occupational Illness</t>
        </is>
      </c>
      <c r="K124" s="31" t="n">
        <v>1</v>
      </c>
      <c r="L124" s="28" t="inlineStr">
        <is>
          <t>Closed</t>
        </is>
      </c>
      <c r="M124" s="29" t="n">
        <v>45950</v>
      </c>
      <c r="N124" s="29" t="n">
        <v>45982</v>
      </c>
      <c r="O124" s="28" t="inlineStr">
        <is>
          <t>Y. Darko</t>
        </is>
      </c>
      <c r="P124" s="30">
        <f>IF(OR([@Type]="Lost Time Injury",[@Type]="Restricted Work",[@Type]="Medical Treatment"),1,0)</f>
        <v/>
      </c>
      <c r="Q124" s="30">
        <f>IF([@Type]="Lost Time Injury",1,0)</f>
        <v/>
      </c>
      <c r="R124" s="32">
        <f>IF([@Type]="Lost Time Injury",[@Date],"")</f>
        <v/>
      </c>
      <c r="S124" s="30">
        <f>IF(AND([@Status]&lt;&gt;"Closed",[@CAR_Due]&lt;&gt;"",[@CAR_Due]&lt;TODAY()),1,0)</f>
        <v/>
      </c>
      <c r="T124" s="30">
        <f>IF(AND([@Status]&lt;&gt;"Closed",[@CAR_Due]&lt;&gt;"",[@CAR_Due]&lt;TODAY()),TODAY()-[@CAR_Due],0)</f>
        <v/>
      </c>
    </row>
    <row r="125">
      <c r="A125" s="28" t="inlineStr">
        <is>
          <t>INC-0120</t>
        </is>
      </c>
      <c r="B125" s="29" t="n">
        <v>45936</v>
      </c>
      <c r="C125" s="28">
        <f>YEAR([@Date])</f>
        <v/>
      </c>
      <c r="D125" s="28">
        <f>TEXT([@Date],"mmm")</f>
        <v/>
      </c>
      <c r="E125" s="30">
        <f>MONTH([@Date])</f>
        <v/>
      </c>
      <c r="F125" s="28" t="inlineStr">
        <is>
          <t>Accommodation Camp</t>
        </is>
      </c>
      <c r="G125" s="28" t="inlineStr">
        <is>
          <t>Administration</t>
        </is>
      </c>
      <c r="H125" s="28" t="inlineStr">
        <is>
          <t>Catering Co (Camp)</t>
        </is>
      </c>
      <c r="I125" s="28" t="inlineStr">
        <is>
          <t>Other</t>
        </is>
      </c>
      <c r="J125" s="28" t="inlineStr">
        <is>
          <t>Electrical</t>
        </is>
      </c>
      <c r="K125" s="31" t="n">
        <v>1</v>
      </c>
      <c r="L125" s="28" t="inlineStr">
        <is>
          <t>Closed</t>
        </is>
      </c>
      <c r="M125" s="29" t="n">
        <v>45937</v>
      </c>
      <c r="N125" s="29" t="n"/>
      <c r="O125" s="28" t="inlineStr">
        <is>
          <t>K. Mensah</t>
        </is>
      </c>
      <c r="P125" s="30">
        <f>IF(OR([@Type]="Lost Time Injury",[@Type]="Restricted Work",[@Type]="Medical Treatment"),1,0)</f>
        <v/>
      </c>
      <c r="Q125" s="30">
        <f>IF([@Type]="Lost Time Injury",1,0)</f>
        <v/>
      </c>
      <c r="R125" s="32">
        <f>IF([@Type]="Lost Time Injury",[@Date],"")</f>
        <v/>
      </c>
      <c r="S125" s="30">
        <f>IF(AND([@Status]&lt;&gt;"Closed",[@CAR_Due]&lt;&gt;"",[@CAR_Due]&lt;TODAY()),1,0)</f>
        <v/>
      </c>
      <c r="T125" s="30">
        <f>IF(AND([@Status]&lt;&gt;"Closed",[@CAR_Due]&lt;&gt;"",[@CAR_Due]&lt;TODAY()),TODAY()-[@CAR_Due],0)</f>
        <v/>
      </c>
    </row>
    <row r="126">
      <c r="A126" s="28" t="inlineStr">
        <is>
          <t>INC-0121</t>
        </is>
      </c>
      <c r="B126" s="29" t="n">
        <v>45949</v>
      </c>
      <c r="C126" s="28">
        <f>YEAR([@Date])</f>
        <v/>
      </c>
      <c r="D126" s="28">
        <f>TEXT([@Date],"mmm")</f>
        <v/>
      </c>
      <c r="E126" s="30">
        <f>MONTH([@Date])</f>
        <v/>
      </c>
      <c r="F126" s="28" t="inlineStr">
        <is>
          <t>Tailings Storage Facility</t>
        </is>
      </c>
      <c r="G126" s="28" t="inlineStr">
        <is>
          <t>Environment</t>
        </is>
      </c>
      <c r="H126" s="28" t="inlineStr">
        <is>
          <t>Owner (Asanko)</t>
        </is>
      </c>
      <c r="I126" s="28" t="inlineStr">
        <is>
          <t>First Aid</t>
        </is>
      </c>
      <c r="J126" s="28" t="inlineStr">
        <is>
          <t>Security</t>
        </is>
      </c>
      <c r="K126" s="31" t="n">
        <v>2</v>
      </c>
      <c r="L126" s="28" t="inlineStr">
        <is>
          <t>Open</t>
        </is>
      </c>
      <c r="M126" s="29" t="n">
        <v>45951</v>
      </c>
      <c r="N126" s="29" t="n"/>
      <c r="O126" s="28" t="inlineStr">
        <is>
          <t>K. Mensah</t>
        </is>
      </c>
      <c r="P126" s="30">
        <f>IF(OR([@Type]="Lost Time Injury",[@Type]="Restricted Work",[@Type]="Medical Treatment"),1,0)</f>
        <v/>
      </c>
      <c r="Q126" s="30">
        <f>IF([@Type]="Lost Time Injury",1,0)</f>
        <v/>
      </c>
      <c r="R126" s="32">
        <f>IF([@Type]="Lost Time Injury",[@Date],"")</f>
        <v/>
      </c>
      <c r="S126" s="30">
        <f>IF(AND([@Status]&lt;&gt;"Closed",[@CAR_Due]&lt;&gt;"",[@CAR_Due]&lt;TODAY()),1,0)</f>
        <v/>
      </c>
      <c r="T126" s="30">
        <f>IF(AND([@Status]&lt;&gt;"Closed",[@CAR_Due]&lt;&gt;"",[@CAR_Due]&lt;TODAY()),TODAY()-[@CAR_Due],0)</f>
        <v/>
      </c>
    </row>
    <row r="127">
      <c r="A127" s="28" t="inlineStr">
        <is>
          <t>INC-0122</t>
        </is>
      </c>
      <c r="B127" s="29" t="n">
        <v>45957</v>
      </c>
      <c r="C127" s="28">
        <f>YEAR([@Date])</f>
        <v/>
      </c>
      <c r="D127" s="28">
        <f>TEXT([@Date],"mmm")</f>
        <v/>
      </c>
      <c r="E127" s="30">
        <f>MONTH([@Date])</f>
        <v/>
      </c>
      <c r="F127" s="28" t="inlineStr">
        <is>
          <t>Assay Laboratory</t>
        </is>
      </c>
      <c r="G127" s="28" t="inlineStr">
        <is>
          <t>Laboratory</t>
        </is>
      </c>
      <c r="H127" s="28" t="inlineStr">
        <is>
          <t>SGS (Laboratory)</t>
        </is>
      </c>
      <c r="I127" s="28" t="inlineStr">
        <is>
          <t>First Aid</t>
        </is>
      </c>
      <c r="J127" s="28" t="inlineStr">
        <is>
          <t>Fire / Explosion</t>
        </is>
      </c>
      <c r="K127" s="31" t="n">
        <v>2</v>
      </c>
      <c r="L127" s="28" t="inlineStr">
        <is>
          <t>Closed</t>
        </is>
      </c>
      <c r="M127" s="29" t="n">
        <v>45957</v>
      </c>
      <c r="N127" s="29" t="n"/>
      <c r="O127" s="28" t="inlineStr">
        <is>
          <t>Y. Darko</t>
        </is>
      </c>
      <c r="P127" s="30">
        <f>IF(OR([@Type]="Lost Time Injury",[@Type]="Restricted Work",[@Type]="Medical Treatment"),1,0)</f>
        <v/>
      </c>
      <c r="Q127" s="30">
        <f>IF([@Type]="Lost Time Injury",1,0)</f>
        <v/>
      </c>
      <c r="R127" s="32">
        <f>IF([@Type]="Lost Time Injury",[@Date],"")</f>
        <v/>
      </c>
      <c r="S127" s="30">
        <f>IF(AND([@Status]&lt;&gt;"Closed",[@CAR_Due]&lt;&gt;"",[@CAR_Due]&lt;TODAY()),1,0)</f>
        <v/>
      </c>
      <c r="T127" s="30">
        <f>IF(AND([@Status]&lt;&gt;"Closed",[@CAR_Due]&lt;&gt;"",[@CAR_Due]&lt;TODAY()),TODAY()-[@CAR_Due],0)</f>
        <v/>
      </c>
    </row>
    <row r="128">
      <c r="A128" s="28" t="inlineStr">
        <is>
          <t>INC-0123</t>
        </is>
      </c>
      <c r="B128" s="29" t="n">
        <v>45943</v>
      </c>
      <c r="C128" s="28">
        <f>YEAR([@Date])</f>
        <v/>
      </c>
      <c r="D128" s="28">
        <f>TEXT([@Date],"mmm")</f>
        <v/>
      </c>
      <c r="E128" s="30">
        <f>MONTH([@Date])</f>
        <v/>
      </c>
      <c r="F128" s="28" t="inlineStr">
        <is>
          <t>Water Treatment</t>
        </is>
      </c>
      <c r="G128" s="28" t="inlineStr">
        <is>
          <t>Environment</t>
        </is>
      </c>
      <c r="H128" s="28" t="inlineStr">
        <is>
          <t>Owner (Asanko)</t>
        </is>
      </c>
      <c r="I128" s="28" t="inlineStr">
        <is>
          <t>Environmental</t>
        </is>
      </c>
      <c r="J128" s="28" t="inlineStr">
        <is>
          <t>Electrical</t>
        </is>
      </c>
      <c r="K128" s="31" t="n">
        <v>3</v>
      </c>
      <c r="L128" s="28" t="inlineStr">
        <is>
          <t>Closed</t>
        </is>
      </c>
      <c r="M128" s="29" t="n">
        <v>45945</v>
      </c>
      <c r="N128" s="29" t="n">
        <v>45985</v>
      </c>
      <c r="O128" s="28" t="inlineStr">
        <is>
          <t>D. Tetteh</t>
        </is>
      </c>
      <c r="P128" s="30">
        <f>IF(OR([@Type]="Lost Time Injury",[@Type]="Restricted Work",[@Type]="Medical Treatment"),1,0)</f>
        <v/>
      </c>
      <c r="Q128" s="30">
        <f>IF([@Type]="Lost Time Injury",1,0)</f>
        <v/>
      </c>
      <c r="R128" s="32">
        <f>IF([@Type]="Lost Time Injury",[@Date],"")</f>
        <v/>
      </c>
      <c r="S128" s="30">
        <f>IF(AND([@Status]&lt;&gt;"Closed",[@CAR_Due]&lt;&gt;"",[@CAR_Due]&lt;TODAY()),1,0)</f>
        <v/>
      </c>
      <c r="T128" s="30">
        <f>IF(AND([@Status]&lt;&gt;"Closed",[@CAR_Due]&lt;&gt;"",[@CAR_Due]&lt;TODAY()),TODAY()-[@CAR_Due],0)</f>
        <v/>
      </c>
    </row>
    <row r="129">
      <c r="A129" s="28" t="inlineStr">
        <is>
          <t>INC-0124</t>
        </is>
      </c>
      <c r="B129" s="29" t="n">
        <v>45977</v>
      </c>
      <c r="C129" s="28">
        <f>YEAR([@Date])</f>
        <v/>
      </c>
      <c r="D129" s="28">
        <f>TEXT([@Date],"mmm")</f>
        <v/>
      </c>
      <c r="E129" s="30">
        <f>MONTH([@Date])</f>
        <v/>
      </c>
      <c r="F129" s="28" t="inlineStr">
        <is>
          <t>Processing Plant (CIL)</t>
        </is>
      </c>
      <c r="G129" s="28" t="inlineStr">
        <is>
          <t>Processing</t>
        </is>
      </c>
      <c r="H129" s="28" t="inlineStr">
        <is>
          <t>Owner (Asanko)</t>
        </is>
      </c>
      <c r="I129" s="28" t="inlineStr">
        <is>
          <t>First Aid</t>
        </is>
      </c>
      <c r="J129" s="28" t="inlineStr">
        <is>
          <t>Security</t>
        </is>
      </c>
      <c r="K129" s="31" t="n">
        <v>1</v>
      </c>
      <c r="L129" s="28" t="inlineStr">
        <is>
          <t>Closed</t>
        </is>
      </c>
      <c r="M129" s="29" t="n">
        <v>45979</v>
      </c>
      <c r="N129" s="29" t="n"/>
      <c r="O129" s="28" t="inlineStr">
        <is>
          <t>A. Owusu</t>
        </is>
      </c>
      <c r="P129" s="30">
        <f>IF(OR([@Type]="Lost Time Injury",[@Type]="Restricted Work",[@Type]="Medical Treatment"),1,0)</f>
        <v/>
      </c>
      <c r="Q129" s="30">
        <f>IF([@Type]="Lost Time Injury",1,0)</f>
        <v/>
      </c>
      <c r="R129" s="32">
        <f>IF([@Type]="Lost Time Injury",[@Date],"")</f>
        <v/>
      </c>
      <c r="S129" s="30">
        <f>IF(AND([@Status]&lt;&gt;"Closed",[@CAR_Due]&lt;&gt;"",[@CAR_Due]&lt;TODAY()),1,0)</f>
        <v/>
      </c>
      <c r="T129" s="30">
        <f>IF(AND([@Status]&lt;&gt;"Closed",[@CAR_Due]&lt;&gt;"",[@CAR_Due]&lt;TODAY()),TODAY()-[@CAR_Due],0)</f>
        <v/>
      </c>
    </row>
    <row r="130">
      <c r="A130" s="28" t="inlineStr">
        <is>
          <t>INC-0125</t>
        </is>
      </c>
      <c r="B130" s="29" t="n">
        <v>45969</v>
      </c>
      <c r="C130" s="28">
        <f>YEAR([@Date])</f>
        <v/>
      </c>
      <c r="D130" s="28">
        <f>TEXT([@Date],"mmm")</f>
        <v/>
      </c>
      <c r="E130" s="30">
        <f>MONTH([@Date])</f>
        <v/>
      </c>
      <c r="F130" s="28" t="inlineStr">
        <is>
          <t>Fuel Farm</t>
        </is>
      </c>
      <c r="G130" s="28" t="inlineStr">
        <is>
          <t>Engineering</t>
        </is>
      </c>
      <c r="H130" s="28" t="inlineStr">
        <is>
          <t>Owner (Asanko)</t>
        </is>
      </c>
      <c r="I130" s="28" t="inlineStr">
        <is>
          <t>First Aid</t>
        </is>
      </c>
      <c r="J130" s="28" t="inlineStr">
        <is>
          <t>Other</t>
        </is>
      </c>
      <c r="K130" s="31" t="n">
        <v>3</v>
      </c>
      <c r="L130" s="28" t="inlineStr">
        <is>
          <t>Closed</t>
        </is>
      </c>
      <c r="M130" s="29" t="n">
        <v>45969</v>
      </c>
      <c r="N130" s="29" t="n"/>
      <c r="O130" s="28" t="inlineStr">
        <is>
          <t>F. Agyeman</t>
        </is>
      </c>
      <c r="P130" s="30">
        <f>IF(OR([@Type]="Lost Time Injury",[@Type]="Restricted Work",[@Type]="Medical Treatment"),1,0)</f>
        <v/>
      </c>
      <c r="Q130" s="30">
        <f>IF([@Type]="Lost Time Injury",1,0)</f>
        <v/>
      </c>
      <c r="R130" s="32">
        <f>IF([@Type]="Lost Time Injury",[@Date],"")</f>
        <v/>
      </c>
      <c r="S130" s="30">
        <f>IF(AND([@Status]&lt;&gt;"Closed",[@CAR_Due]&lt;&gt;"",[@CAR_Due]&lt;TODAY()),1,0)</f>
        <v/>
      </c>
      <c r="T130" s="30">
        <f>IF(AND([@Status]&lt;&gt;"Closed",[@CAR_Due]&lt;&gt;"",[@CAR_Due]&lt;TODAY()),TODAY()-[@CAR_Due],0)</f>
        <v/>
      </c>
    </row>
    <row r="131">
      <c r="A131" s="28" t="inlineStr">
        <is>
          <t>INC-0126</t>
        </is>
      </c>
      <c r="B131" s="29" t="n">
        <v>45989</v>
      </c>
      <c r="C131" s="28">
        <f>YEAR([@Date])</f>
        <v/>
      </c>
      <c r="D131" s="28">
        <f>TEXT([@Date],"mmm")</f>
        <v/>
      </c>
      <c r="E131" s="30">
        <f>MONTH([@Date])</f>
        <v/>
      </c>
      <c r="F131" s="28" t="inlineStr">
        <is>
          <t>Security Gatehouse</t>
        </is>
      </c>
      <c r="G131" s="28" t="inlineStr">
        <is>
          <t>Security</t>
        </is>
      </c>
      <c r="H131" s="28" t="inlineStr">
        <is>
          <t>G4S (Security)</t>
        </is>
      </c>
      <c r="I131" s="28" t="inlineStr">
        <is>
          <t>First Aid</t>
        </is>
      </c>
      <c r="J131" s="28" t="inlineStr">
        <is>
          <t>Electrical</t>
        </is>
      </c>
      <c r="K131" s="31" t="n">
        <v>1</v>
      </c>
      <c r="L131" s="28" t="inlineStr">
        <is>
          <t>Closed</t>
        </is>
      </c>
      <c r="M131" s="29" t="n">
        <v>45991</v>
      </c>
      <c r="N131" s="29" t="n"/>
      <c r="O131" s="28" t="inlineStr">
        <is>
          <t>S. Addo</t>
        </is>
      </c>
      <c r="P131" s="30">
        <f>IF(OR([@Type]="Lost Time Injury",[@Type]="Restricted Work",[@Type]="Medical Treatment"),1,0)</f>
        <v/>
      </c>
      <c r="Q131" s="30">
        <f>IF([@Type]="Lost Time Injury",1,0)</f>
        <v/>
      </c>
      <c r="R131" s="32">
        <f>IF([@Type]="Lost Time Injury",[@Date],"")</f>
        <v/>
      </c>
      <c r="S131" s="30">
        <f>IF(AND([@Status]&lt;&gt;"Closed",[@CAR_Due]&lt;&gt;"",[@CAR_Due]&lt;TODAY()),1,0)</f>
        <v/>
      </c>
      <c r="T131" s="30">
        <f>IF(AND([@Status]&lt;&gt;"Closed",[@CAR_Due]&lt;&gt;"",[@CAR_Due]&lt;TODAY()),TODAY()-[@CAR_Due],0)</f>
        <v/>
      </c>
    </row>
    <row r="132">
      <c r="A132" s="28" t="inlineStr">
        <is>
          <t>INC-0127</t>
        </is>
      </c>
      <c r="B132" s="29" t="n">
        <v>46006</v>
      </c>
      <c r="C132" s="28">
        <f>YEAR([@Date])</f>
        <v/>
      </c>
      <c r="D132" s="28">
        <f>TEXT([@Date],"mmm")</f>
        <v/>
      </c>
      <c r="E132" s="30">
        <f>MONTH([@Date])</f>
        <v/>
      </c>
      <c r="F132" s="28" t="inlineStr">
        <is>
          <t>Processing Plant (CIL)</t>
        </is>
      </c>
      <c r="G132" s="28" t="inlineStr">
        <is>
          <t>Processing</t>
        </is>
      </c>
      <c r="H132" s="28" t="inlineStr">
        <is>
          <t>Owner (Asanko)</t>
        </is>
      </c>
      <c r="I132" s="28" t="inlineStr">
        <is>
          <t>First Aid</t>
        </is>
      </c>
      <c r="J132" s="28" t="inlineStr">
        <is>
          <t>Other</t>
        </is>
      </c>
      <c r="K132" s="31" t="n">
        <v>2</v>
      </c>
      <c r="L132" s="28" t="inlineStr">
        <is>
          <t>Closed</t>
        </is>
      </c>
      <c r="M132" s="29" t="n">
        <v>46006</v>
      </c>
      <c r="N132" s="29" t="n"/>
      <c r="O132" s="28" t="inlineStr">
        <is>
          <t>E. Asante</t>
        </is>
      </c>
      <c r="P132" s="30">
        <f>IF(OR([@Type]="Lost Time Injury",[@Type]="Restricted Work",[@Type]="Medical Treatment"),1,0)</f>
        <v/>
      </c>
      <c r="Q132" s="30">
        <f>IF([@Type]="Lost Time Injury",1,0)</f>
        <v/>
      </c>
      <c r="R132" s="32">
        <f>IF([@Type]="Lost Time Injury",[@Date],"")</f>
        <v/>
      </c>
      <c r="S132" s="30">
        <f>IF(AND([@Status]&lt;&gt;"Closed",[@CAR_Due]&lt;&gt;"",[@CAR_Due]&lt;TODAY()),1,0)</f>
        <v/>
      </c>
      <c r="T132" s="30">
        <f>IF(AND([@Status]&lt;&gt;"Closed",[@CAR_Due]&lt;&gt;"",[@CAR_Due]&lt;TODAY()),TODAY()-[@CAR_Due],0)</f>
        <v/>
      </c>
    </row>
    <row r="133">
      <c r="A133" s="28" t="inlineStr">
        <is>
          <t>INC-0128</t>
        </is>
      </c>
      <c r="B133" s="29" t="n">
        <v>46014</v>
      </c>
      <c r="C133" s="28">
        <f>YEAR([@Date])</f>
        <v/>
      </c>
      <c r="D133" s="28">
        <f>TEXT([@Date],"mmm")</f>
        <v/>
      </c>
      <c r="E133" s="30">
        <f>MONTH([@Date])</f>
        <v/>
      </c>
      <c r="F133" s="28" t="inlineStr">
        <is>
          <t>Warehouse &amp; Stores</t>
        </is>
      </c>
      <c r="G133" s="28" t="inlineStr">
        <is>
          <t>Logistics</t>
        </is>
      </c>
      <c r="H133" s="28" t="inlineStr">
        <is>
          <t>Owner (Asanko)</t>
        </is>
      </c>
      <c r="I133" s="28" t="inlineStr">
        <is>
          <t>Other</t>
        </is>
      </c>
      <c r="J133" s="28" t="inlineStr">
        <is>
          <t>Chemical / Cyanide Spill</t>
        </is>
      </c>
      <c r="K133" s="31" t="n">
        <v>1</v>
      </c>
      <c r="L133" s="28" t="inlineStr">
        <is>
          <t>Closed</t>
        </is>
      </c>
      <c r="M133" s="29" t="n">
        <v>46015</v>
      </c>
      <c r="N133" s="29" t="n"/>
      <c r="O133" s="28" t="inlineStr">
        <is>
          <t>Y. Darko</t>
        </is>
      </c>
      <c r="P133" s="30">
        <f>IF(OR([@Type]="Lost Time Injury",[@Type]="Restricted Work",[@Type]="Medical Treatment"),1,0)</f>
        <v/>
      </c>
      <c r="Q133" s="30">
        <f>IF([@Type]="Lost Time Injury",1,0)</f>
        <v/>
      </c>
      <c r="R133" s="32">
        <f>IF([@Type]="Lost Time Injury",[@Date],"")</f>
        <v/>
      </c>
      <c r="S133" s="30">
        <f>IF(AND([@Status]&lt;&gt;"Closed",[@CAR_Due]&lt;&gt;"",[@CAR_Due]&lt;TODAY()),1,0)</f>
        <v/>
      </c>
      <c r="T133" s="30">
        <f>IF(AND([@Status]&lt;&gt;"Closed",[@CAR_Due]&lt;&gt;"",[@CAR_Due]&lt;TODAY()),TODAY()-[@CAR_Due],0)</f>
        <v/>
      </c>
    </row>
    <row r="134">
      <c r="A134" s="28" t="inlineStr">
        <is>
          <t>INC-0129</t>
        </is>
      </c>
      <c r="B134" s="29" t="n">
        <v>46009</v>
      </c>
      <c r="C134" s="28">
        <f>YEAR([@Date])</f>
        <v/>
      </c>
      <c r="D134" s="28">
        <f>TEXT([@Date],"mmm")</f>
        <v/>
      </c>
      <c r="E134" s="30">
        <f>MONTH([@Date])</f>
        <v/>
      </c>
      <c r="F134" s="28" t="inlineStr">
        <is>
          <t>Assay Laboratory</t>
        </is>
      </c>
      <c r="G134" s="28" t="inlineStr">
        <is>
          <t>Laboratory</t>
        </is>
      </c>
      <c r="H134" s="28" t="inlineStr">
        <is>
          <t>SGS (Laboratory)</t>
        </is>
      </c>
      <c r="I134" s="28" t="inlineStr">
        <is>
          <t>First Aid</t>
        </is>
      </c>
      <c r="J134" s="28" t="inlineStr">
        <is>
          <t>Personal Injury</t>
        </is>
      </c>
      <c r="K134" s="31" t="n">
        <v>2</v>
      </c>
      <c r="L134" s="28" t="inlineStr">
        <is>
          <t>Closed</t>
        </is>
      </c>
      <c r="M134" s="29" t="n">
        <v>46011</v>
      </c>
      <c r="N134" s="29" t="n"/>
      <c r="O134" s="28" t="inlineStr">
        <is>
          <t>A. Owusu</t>
        </is>
      </c>
      <c r="P134" s="30">
        <f>IF(OR([@Type]="Lost Time Injury",[@Type]="Restricted Work",[@Type]="Medical Treatment"),1,0)</f>
        <v/>
      </c>
      <c r="Q134" s="30">
        <f>IF([@Type]="Lost Time Injury",1,0)</f>
        <v/>
      </c>
      <c r="R134" s="32">
        <f>IF([@Type]="Lost Time Injury",[@Date],"")</f>
        <v/>
      </c>
      <c r="S134" s="30">
        <f>IF(AND([@Status]&lt;&gt;"Closed",[@CAR_Due]&lt;&gt;"",[@CAR_Due]&lt;TODAY()),1,0)</f>
        <v/>
      </c>
      <c r="T134" s="30">
        <f>IF(AND([@Status]&lt;&gt;"Closed",[@CAR_Due]&lt;&gt;"",[@CAR_Due]&lt;TODAY()),TODAY()-[@CAR_Due],0)</f>
        <v/>
      </c>
    </row>
    <row r="135">
      <c r="A135" s="28" t="inlineStr">
        <is>
          <t>INC-0130</t>
        </is>
      </c>
      <c r="B135" s="29" t="n">
        <v>46003</v>
      </c>
      <c r="C135" s="28">
        <f>YEAR([@Date])</f>
        <v/>
      </c>
      <c r="D135" s="28">
        <f>TEXT([@Date],"mmm")</f>
        <v/>
      </c>
      <c r="E135" s="30">
        <f>MONTH([@Date])</f>
        <v/>
      </c>
      <c r="F135" s="28" t="inlineStr">
        <is>
          <t>Processing Plant (CIL)</t>
        </is>
      </c>
      <c r="G135" s="28" t="inlineStr">
        <is>
          <t>Processing</t>
        </is>
      </c>
      <c r="H135" s="28" t="inlineStr">
        <is>
          <t>Owner (Asanko)</t>
        </is>
      </c>
      <c r="I135" s="28" t="inlineStr">
        <is>
          <t>First Aid</t>
        </is>
      </c>
      <c r="J135" s="28" t="inlineStr">
        <is>
          <t>Occupational Illness</t>
        </is>
      </c>
      <c r="K135" s="31" t="n">
        <v>1</v>
      </c>
      <c r="L135" s="28" t="inlineStr">
        <is>
          <t>Closed</t>
        </is>
      </c>
      <c r="M135" s="29" t="n">
        <v>46003</v>
      </c>
      <c r="N135" s="29" t="n"/>
      <c r="O135" s="28" t="inlineStr">
        <is>
          <t>K. Mensah</t>
        </is>
      </c>
      <c r="P135" s="30">
        <f>IF(OR([@Type]="Lost Time Injury",[@Type]="Restricted Work",[@Type]="Medical Treatment"),1,0)</f>
        <v/>
      </c>
      <c r="Q135" s="30">
        <f>IF([@Type]="Lost Time Injury",1,0)</f>
        <v/>
      </c>
      <c r="R135" s="32">
        <f>IF([@Type]="Lost Time Injury",[@Date],"")</f>
        <v/>
      </c>
      <c r="S135" s="30">
        <f>IF(AND([@Status]&lt;&gt;"Closed",[@CAR_Due]&lt;&gt;"",[@CAR_Due]&lt;TODAY()),1,0)</f>
        <v/>
      </c>
      <c r="T135" s="30">
        <f>IF(AND([@Status]&lt;&gt;"Closed",[@CAR_Due]&lt;&gt;"",[@CAR_Due]&lt;TODAY()),TODAY()-[@CAR_Due],0)</f>
        <v/>
      </c>
    </row>
    <row r="136">
      <c r="A136" s="28" t="inlineStr">
        <is>
          <t>INC-0131</t>
        </is>
      </c>
      <c r="B136" s="29" t="n">
        <v>45998</v>
      </c>
      <c r="C136" s="28">
        <f>YEAR([@Date])</f>
        <v/>
      </c>
      <c r="D136" s="28">
        <f>TEXT([@Date],"mmm")</f>
        <v/>
      </c>
      <c r="E136" s="30">
        <f>MONTH([@Date])</f>
        <v/>
      </c>
      <c r="F136" s="28" t="inlineStr">
        <is>
          <t>Processing Plant (CIL)</t>
        </is>
      </c>
      <c r="G136" s="28" t="inlineStr">
        <is>
          <t>Processing</t>
        </is>
      </c>
      <c r="H136" s="28" t="inlineStr">
        <is>
          <t>Owner (Asanko)</t>
        </is>
      </c>
      <c r="I136" s="28" t="inlineStr">
        <is>
          <t>Other</t>
        </is>
      </c>
      <c r="J136" s="28" t="inlineStr">
        <is>
          <t>Caught Between / Struck By</t>
        </is>
      </c>
      <c r="K136" s="31" t="n">
        <v>1</v>
      </c>
      <c r="L136" s="28" t="inlineStr">
        <is>
          <t>Closed</t>
        </is>
      </c>
      <c r="M136" s="29" t="n">
        <v>45998</v>
      </c>
      <c r="N136" s="29" t="n"/>
      <c r="O136" s="28" t="inlineStr">
        <is>
          <t>F. Agyeman</t>
        </is>
      </c>
      <c r="P136" s="30">
        <f>IF(OR([@Type]="Lost Time Injury",[@Type]="Restricted Work",[@Type]="Medical Treatment"),1,0)</f>
        <v/>
      </c>
      <c r="Q136" s="30">
        <f>IF([@Type]="Lost Time Injury",1,0)</f>
        <v/>
      </c>
      <c r="R136" s="32">
        <f>IF([@Type]="Lost Time Injury",[@Date],"")</f>
        <v/>
      </c>
      <c r="S136" s="30">
        <f>IF(AND([@Status]&lt;&gt;"Closed",[@CAR_Due]&lt;&gt;"",[@CAR_Due]&lt;TODAY()),1,0)</f>
        <v/>
      </c>
      <c r="T136" s="30">
        <f>IF(AND([@Status]&lt;&gt;"Closed",[@CAR_Due]&lt;&gt;"",[@CAR_Due]&lt;TODAY()),TODAY()-[@CAR_Due],0)</f>
        <v/>
      </c>
    </row>
    <row r="137">
      <c r="A137" s="28" t="inlineStr">
        <is>
          <t>INC-0132</t>
        </is>
      </c>
      <c r="B137" s="29" t="n">
        <v>46000</v>
      </c>
      <c r="C137" s="28">
        <f>YEAR([@Date])</f>
        <v/>
      </c>
      <c r="D137" s="28">
        <f>TEXT([@Date],"mmm")</f>
        <v/>
      </c>
      <c r="E137" s="30">
        <f>MONTH([@Date])</f>
        <v/>
      </c>
      <c r="F137" s="28" t="inlineStr">
        <is>
          <t>Processing Plant (CIL)</t>
        </is>
      </c>
      <c r="G137" s="28" t="inlineStr">
        <is>
          <t>Processing</t>
        </is>
      </c>
      <c r="H137" s="28" t="inlineStr">
        <is>
          <t>Owner (Asanko)</t>
        </is>
      </c>
      <c r="I137" s="28" t="inlineStr">
        <is>
          <t>First Aid</t>
        </is>
      </c>
      <c r="J137" s="28" t="inlineStr">
        <is>
          <t>Fall from Height</t>
        </is>
      </c>
      <c r="K137" s="31" t="n">
        <v>1</v>
      </c>
      <c r="L137" s="28" t="inlineStr">
        <is>
          <t>Closed</t>
        </is>
      </c>
      <c r="M137" s="29" t="n">
        <v>46001</v>
      </c>
      <c r="N137" s="29" t="n"/>
      <c r="O137" s="28" t="inlineStr">
        <is>
          <t>P. Annan</t>
        </is>
      </c>
      <c r="P137" s="30">
        <f>IF(OR([@Type]="Lost Time Injury",[@Type]="Restricted Work",[@Type]="Medical Treatment"),1,0)</f>
        <v/>
      </c>
      <c r="Q137" s="30">
        <f>IF([@Type]="Lost Time Injury",1,0)</f>
        <v/>
      </c>
      <c r="R137" s="32">
        <f>IF([@Type]="Lost Time Injury",[@Date],"")</f>
        <v/>
      </c>
      <c r="S137" s="30">
        <f>IF(AND([@Status]&lt;&gt;"Closed",[@CAR_Due]&lt;&gt;"",[@CAR_Due]&lt;TODAY()),1,0)</f>
        <v/>
      </c>
      <c r="T137" s="30">
        <f>IF(AND([@Status]&lt;&gt;"Closed",[@CAR_Due]&lt;&gt;"",[@CAR_Due]&lt;TODAY()),TODAY()-[@CAR_Due],0)</f>
        <v/>
      </c>
    </row>
    <row r="138">
      <c r="A138" s="28" t="inlineStr">
        <is>
          <t>INC-0133</t>
        </is>
      </c>
      <c r="B138" s="29" t="n">
        <v>45994</v>
      </c>
      <c r="C138" s="28">
        <f>YEAR([@Date])</f>
        <v/>
      </c>
      <c r="D138" s="28">
        <f>TEXT([@Date],"mmm")</f>
        <v/>
      </c>
      <c r="E138" s="30">
        <f>MONTH([@Date])</f>
        <v/>
      </c>
      <c r="F138" s="28" t="inlineStr">
        <is>
          <t>Explosives Magazine</t>
        </is>
      </c>
      <c r="G138" s="28" t="inlineStr">
        <is>
          <t>Mining</t>
        </is>
      </c>
      <c r="H138" s="28" t="inlineStr">
        <is>
          <t>Maxam (Blasting)</t>
        </is>
      </c>
      <c r="I138" s="28" t="inlineStr">
        <is>
          <t>First Aid</t>
        </is>
      </c>
      <c r="J138" s="28" t="inlineStr">
        <is>
          <t>Electrical</t>
        </is>
      </c>
      <c r="K138" s="31" t="n">
        <v>1</v>
      </c>
      <c r="L138" s="28" t="inlineStr">
        <is>
          <t>Closed</t>
        </is>
      </c>
      <c r="M138" s="29" t="n">
        <v>45996</v>
      </c>
      <c r="N138" s="29" t="n"/>
      <c r="O138" s="28" t="inlineStr">
        <is>
          <t>P. Annan</t>
        </is>
      </c>
      <c r="P138" s="30">
        <f>IF(OR([@Type]="Lost Time Injury",[@Type]="Restricted Work",[@Type]="Medical Treatment"),1,0)</f>
        <v/>
      </c>
      <c r="Q138" s="30">
        <f>IF([@Type]="Lost Time Injury",1,0)</f>
        <v/>
      </c>
      <c r="R138" s="32">
        <f>IF([@Type]="Lost Time Injury",[@Date],"")</f>
        <v/>
      </c>
      <c r="S138" s="30">
        <f>IF(AND([@Status]&lt;&gt;"Closed",[@CAR_Due]&lt;&gt;"",[@CAR_Due]&lt;TODAY()),1,0)</f>
        <v/>
      </c>
      <c r="T138" s="30">
        <f>IF(AND([@Status]&lt;&gt;"Closed",[@CAR_Due]&lt;&gt;"",[@CAR_Due]&lt;TODAY()),TODAY()-[@CAR_Due],0)</f>
        <v/>
      </c>
    </row>
    <row r="139">
      <c r="A139" s="28" t="inlineStr">
        <is>
          <t>INC-0134</t>
        </is>
      </c>
      <c r="B139" s="29" t="n">
        <v>45995</v>
      </c>
      <c r="C139" s="28">
        <f>YEAR([@Date])</f>
        <v/>
      </c>
      <c r="D139" s="28">
        <f>TEXT([@Date],"mmm")</f>
        <v/>
      </c>
      <c r="E139" s="30">
        <f>MONTH([@Date])</f>
        <v/>
      </c>
      <c r="F139" s="28" t="inlineStr">
        <is>
          <t>Administration</t>
        </is>
      </c>
      <c r="G139" s="28" t="inlineStr">
        <is>
          <t>Administration</t>
        </is>
      </c>
      <c r="H139" s="28" t="inlineStr">
        <is>
          <t>Owner (Asanko)</t>
        </is>
      </c>
      <c r="I139" s="28" t="inlineStr">
        <is>
          <t>First Aid</t>
        </is>
      </c>
      <c r="J139" s="28" t="inlineStr">
        <is>
          <t>Environmental Release</t>
        </is>
      </c>
      <c r="K139" s="31" t="n">
        <v>1</v>
      </c>
      <c r="L139" s="28" t="inlineStr">
        <is>
          <t>Closed</t>
        </is>
      </c>
      <c r="M139" s="29" t="n">
        <v>45995</v>
      </c>
      <c r="N139" s="29" t="n"/>
      <c r="O139" s="28" t="inlineStr">
        <is>
          <t>M. Quaye</t>
        </is>
      </c>
      <c r="P139" s="30">
        <f>IF(OR([@Type]="Lost Time Injury",[@Type]="Restricted Work",[@Type]="Medical Treatment"),1,0)</f>
        <v/>
      </c>
      <c r="Q139" s="30">
        <f>IF([@Type]="Lost Time Injury",1,0)</f>
        <v/>
      </c>
      <c r="R139" s="32">
        <f>IF([@Type]="Lost Time Injury",[@Date],"")</f>
        <v/>
      </c>
      <c r="S139" s="30">
        <f>IF(AND([@Status]&lt;&gt;"Closed",[@CAR_Due]&lt;&gt;"",[@CAR_Due]&lt;TODAY()),1,0)</f>
        <v/>
      </c>
      <c r="T139" s="30">
        <f>IF(AND([@Status]&lt;&gt;"Closed",[@CAR_Due]&lt;&gt;"",[@CAR_Due]&lt;TODAY()),TODAY()-[@CAR_Due],0)</f>
        <v/>
      </c>
    </row>
    <row r="140">
      <c r="A140" s="28" t="inlineStr">
        <is>
          <t>INC-0135</t>
        </is>
      </c>
      <c r="B140" s="29" t="n">
        <v>46003</v>
      </c>
      <c r="C140" s="28">
        <f>YEAR([@Date])</f>
        <v/>
      </c>
      <c r="D140" s="28">
        <f>TEXT([@Date],"mmm")</f>
        <v/>
      </c>
      <c r="E140" s="30">
        <f>MONTH([@Date])</f>
        <v/>
      </c>
      <c r="F140" s="28" t="inlineStr">
        <is>
          <t>Accommodation Camp</t>
        </is>
      </c>
      <c r="G140" s="28" t="inlineStr">
        <is>
          <t>Administration</t>
        </is>
      </c>
      <c r="H140" s="28" t="inlineStr">
        <is>
          <t>Catering Co (Camp)</t>
        </is>
      </c>
      <c r="I140" s="28" t="inlineStr">
        <is>
          <t>Other</t>
        </is>
      </c>
      <c r="J140" s="28" t="inlineStr">
        <is>
          <t>Vehicle / Mobile Equipment</t>
        </is>
      </c>
      <c r="K140" s="31" t="n">
        <v>3</v>
      </c>
      <c r="L140" s="28" t="inlineStr">
        <is>
          <t>Action Pending</t>
        </is>
      </c>
      <c r="M140" s="29" t="n">
        <v>46005</v>
      </c>
      <c r="N140" s="29" t="n"/>
      <c r="O140" s="28" t="inlineStr">
        <is>
          <t>A. Owusu</t>
        </is>
      </c>
      <c r="P140" s="30">
        <f>IF(OR([@Type]="Lost Time Injury",[@Type]="Restricted Work",[@Type]="Medical Treatment"),1,0)</f>
        <v/>
      </c>
      <c r="Q140" s="30">
        <f>IF([@Type]="Lost Time Injury",1,0)</f>
        <v/>
      </c>
      <c r="R140" s="32">
        <f>IF([@Type]="Lost Time Injury",[@Date],"")</f>
        <v/>
      </c>
      <c r="S140" s="30">
        <f>IF(AND([@Status]&lt;&gt;"Closed",[@CAR_Due]&lt;&gt;"",[@CAR_Due]&lt;TODAY()),1,0)</f>
        <v/>
      </c>
      <c r="T140" s="30">
        <f>IF(AND([@Status]&lt;&gt;"Closed",[@CAR_Due]&lt;&gt;"",[@CAR_Due]&lt;TODAY()),TODAY()-[@CAR_Due],0)</f>
        <v/>
      </c>
    </row>
    <row r="141">
      <c r="A141" s="28" t="inlineStr">
        <is>
          <t>INC-0136</t>
        </is>
      </c>
      <c r="B141" s="29" t="n">
        <v>46030</v>
      </c>
      <c r="C141" s="28">
        <f>YEAR([@Date])</f>
        <v/>
      </c>
      <c r="D141" s="28">
        <f>TEXT([@Date],"mmm")</f>
        <v/>
      </c>
      <c r="E141" s="30">
        <f>MONTH([@Date])</f>
        <v/>
      </c>
      <c r="F141" s="28" t="inlineStr">
        <is>
          <t>Esaase Open Pit</t>
        </is>
      </c>
      <c r="G141" s="28" t="inlineStr">
        <is>
          <t>Mining</t>
        </is>
      </c>
      <c r="H141" s="28" t="inlineStr">
        <is>
          <t>AUMS (Mining Contractor)</t>
        </is>
      </c>
      <c r="I141" s="28" t="inlineStr">
        <is>
          <t>First Aid</t>
        </is>
      </c>
      <c r="J141" s="28" t="inlineStr">
        <is>
          <t>Caught Between / Struck By</t>
        </is>
      </c>
      <c r="K141" s="31" t="n">
        <v>2</v>
      </c>
      <c r="L141" s="28" t="inlineStr">
        <is>
          <t>Closed</t>
        </is>
      </c>
      <c r="M141" s="29" t="n">
        <v>46031</v>
      </c>
      <c r="N141" s="29" t="n"/>
      <c r="O141" s="28" t="inlineStr">
        <is>
          <t>M. Quaye</t>
        </is>
      </c>
      <c r="P141" s="30">
        <f>IF(OR([@Type]="Lost Time Injury",[@Type]="Restricted Work",[@Type]="Medical Treatment"),1,0)</f>
        <v/>
      </c>
      <c r="Q141" s="30">
        <f>IF([@Type]="Lost Time Injury",1,0)</f>
        <v/>
      </c>
      <c r="R141" s="32">
        <f>IF([@Type]="Lost Time Injury",[@Date],"")</f>
        <v/>
      </c>
      <c r="S141" s="30">
        <f>IF(AND([@Status]&lt;&gt;"Closed",[@CAR_Due]&lt;&gt;"",[@CAR_Due]&lt;TODAY()),1,0)</f>
        <v/>
      </c>
      <c r="T141" s="30">
        <f>IF(AND([@Status]&lt;&gt;"Closed",[@CAR_Due]&lt;&gt;"",[@CAR_Due]&lt;TODAY()),TODAY()-[@CAR_Due],0)</f>
        <v/>
      </c>
    </row>
    <row r="142">
      <c r="A142" s="28" t="inlineStr">
        <is>
          <t>INC-0137</t>
        </is>
      </c>
      <c r="B142" s="29" t="n">
        <v>46026</v>
      </c>
      <c r="C142" s="28">
        <f>YEAR([@Date])</f>
        <v/>
      </c>
      <c r="D142" s="28">
        <f>TEXT([@Date],"mmm")</f>
        <v/>
      </c>
      <c r="E142" s="30">
        <f>MONTH([@Date])</f>
        <v/>
      </c>
      <c r="F142" s="28" t="inlineStr">
        <is>
          <t>Crushing Circuit</t>
        </is>
      </c>
      <c r="G142" s="28" t="inlineStr">
        <is>
          <t>Processing</t>
        </is>
      </c>
      <c r="H142" s="28" t="inlineStr">
        <is>
          <t>Owner (Asanko)</t>
        </is>
      </c>
      <c r="I142" s="28" t="inlineStr">
        <is>
          <t>First Aid</t>
        </is>
      </c>
      <c r="J142" s="28" t="inlineStr">
        <is>
          <t>Personal Injury</t>
        </is>
      </c>
      <c r="K142" s="31" t="n">
        <v>1</v>
      </c>
      <c r="L142" s="28" t="inlineStr">
        <is>
          <t>Closed</t>
        </is>
      </c>
      <c r="M142" s="29" t="n">
        <v>46028</v>
      </c>
      <c r="N142" s="29" t="n"/>
      <c r="O142" s="28" t="inlineStr">
        <is>
          <t>J. Boateng</t>
        </is>
      </c>
      <c r="P142" s="30">
        <f>IF(OR([@Type]="Lost Time Injury",[@Type]="Restricted Work",[@Type]="Medical Treatment"),1,0)</f>
        <v/>
      </c>
      <c r="Q142" s="30">
        <f>IF([@Type]="Lost Time Injury",1,0)</f>
        <v/>
      </c>
      <c r="R142" s="32">
        <f>IF([@Type]="Lost Time Injury",[@Date],"")</f>
        <v/>
      </c>
      <c r="S142" s="30">
        <f>IF(AND([@Status]&lt;&gt;"Closed",[@CAR_Due]&lt;&gt;"",[@CAR_Due]&lt;TODAY()),1,0)</f>
        <v/>
      </c>
      <c r="T142" s="30">
        <f>IF(AND([@Status]&lt;&gt;"Closed",[@CAR_Due]&lt;&gt;"",[@CAR_Due]&lt;TODAY()),TODAY()-[@CAR_Due],0)</f>
        <v/>
      </c>
    </row>
    <row r="143">
      <c r="A143" s="28" t="inlineStr">
        <is>
          <t>INC-0138</t>
        </is>
      </c>
      <c r="B143" s="29" t="n">
        <v>46052</v>
      </c>
      <c r="C143" s="28">
        <f>YEAR([@Date])</f>
        <v/>
      </c>
      <c r="D143" s="28">
        <f>TEXT([@Date],"mmm")</f>
        <v/>
      </c>
      <c r="E143" s="30">
        <f>MONTH([@Date])</f>
        <v/>
      </c>
      <c r="F143" s="28" t="inlineStr">
        <is>
          <t>Assay Laboratory</t>
        </is>
      </c>
      <c r="G143" s="28" t="inlineStr">
        <is>
          <t>Laboratory</t>
        </is>
      </c>
      <c r="H143" s="28" t="inlineStr">
        <is>
          <t>SGS (Laboratory)</t>
        </is>
      </c>
      <c r="I143" s="28" t="inlineStr">
        <is>
          <t>First Aid</t>
        </is>
      </c>
      <c r="J143" s="28" t="inlineStr">
        <is>
          <t>Occupational Illness</t>
        </is>
      </c>
      <c r="K143" s="31" t="n">
        <v>2</v>
      </c>
      <c r="L143" s="28" t="inlineStr">
        <is>
          <t>Action Pending</t>
        </is>
      </c>
      <c r="M143" s="29" t="n">
        <v>46054</v>
      </c>
      <c r="N143" s="29" t="n"/>
      <c r="O143" s="28" t="inlineStr">
        <is>
          <t>A. Owusu</t>
        </is>
      </c>
      <c r="P143" s="30">
        <f>IF(OR([@Type]="Lost Time Injury",[@Type]="Restricted Work",[@Type]="Medical Treatment"),1,0)</f>
        <v/>
      </c>
      <c r="Q143" s="30">
        <f>IF([@Type]="Lost Time Injury",1,0)</f>
        <v/>
      </c>
      <c r="R143" s="32">
        <f>IF([@Type]="Lost Time Injury",[@Date],"")</f>
        <v/>
      </c>
      <c r="S143" s="30">
        <f>IF(AND([@Status]&lt;&gt;"Closed",[@CAR_Due]&lt;&gt;"",[@CAR_Due]&lt;TODAY()),1,0)</f>
        <v/>
      </c>
      <c r="T143" s="30">
        <f>IF(AND([@Status]&lt;&gt;"Closed",[@CAR_Due]&lt;&gt;"",[@CAR_Due]&lt;TODAY()),TODAY()-[@CAR_Due],0)</f>
        <v/>
      </c>
    </row>
    <row r="144">
      <c r="A144" s="28" t="inlineStr">
        <is>
          <t>INC-0139</t>
        </is>
      </c>
      <c r="B144" s="29" t="n">
        <v>46024</v>
      </c>
      <c r="C144" s="28">
        <f>YEAR([@Date])</f>
        <v/>
      </c>
      <c r="D144" s="28">
        <f>TEXT([@Date],"mmm")</f>
        <v/>
      </c>
      <c r="E144" s="30">
        <f>MONTH([@Date])</f>
        <v/>
      </c>
      <c r="F144" s="28" t="inlineStr">
        <is>
          <t>Administration</t>
        </is>
      </c>
      <c r="G144" s="28" t="inlineStr">
        <is>
          <t>Administration</t>
        </is>
      </c>
      <c r="H144" s="28" t="inlineStr">
        <is>
          <t>Owner (Asanko)</t>
        </is>
      </c>
      <c r="I144" s="28" t="inlineStr">
        <is>
          <t>First Aid</t>
        </is>
      </c>
      <c r="J144" s="28" t="inlineStr">
        <is>
          <t>Security</t>
        </is>
      </c>
      <c r="K144" s="31" t="n">
        <v>1</v>
      </c>
      <c r="L144" s="28" t="inlineStr">
        <is>
          <t>Action Pending</t>
        </is>
      </c>
      <c r="M144" s="29" t="n">
        <v>46025</v>
      </c>
      <c r="N144" s="29" t="n"/>
      <c r="O144" s="28" t="inlineStr">
        <is>
          <t>M. Quaye</t>
        </is>
      </c>
      <c r="P144" s="30">
        <f>IF(OR([@Type]="Lost Time Injury",[@Type]="Restricted Work",[@Type]="Medical Treatment"),1,0)</f>
        <v/>
      </c>
      <c r="Q144" s="30">
        <f>IF([@Type]="Lost Time Injury",1,0)</f>
        <v/>
      </c>
      <c r="R144" s="32">
        <f>IF([@Type]="Lost Time Injury",[@Date],"")</f>
        <v/>
      </c>
      <c r="S144" s="30">
        <f>IF(AND([@Status]&lt;&gt;"Closed",[@CAR_Due]&lt;&gt;"",[@CAR_Due]&lt;TODAY()),1,0)</f>
        <v/>
      </c>
      <c r="T144" s="30">
        <f>IF(AND([@Status]&lt;&gt;"Closed",[@CAR_Due]&lt;&gt;"",[@CAR_Due]&lt;TODAY()),TODAY()-[@CAR_Due],0)</f>
        <v/>
      </c>
    </row>
    <row r="145">
      <c r="A145" s="28" t="inlineStr">
        <is>
          <t>INC-0140</t>
        </is>
      </c>
      <c r="B145" s="29" t="n">
        <v>46049</v>
      </c>
      <c r="C145" s="28">
        <f>YEAR([@Date])</f>
        <v/>
      </c>
      <c r="D145" s="28">
        <f>TEXT([@Date],"mmm")</f>
        <v/>
      </c>
      <c r="E145" s="30">
        <f>MONTH([@Date])</f>
        <v/>
      </c>
      <c r="F145" s="28" t="inlineStr">
        <is>
          <t>Drill &amp; Blast</t>
        </is>
      </c>
      <c r="G145" s="28" t="inlineStr">
        <is>
          <t>Mining</t>
        </is>
      </c>
      <c r="H145" s="28" t="inlineStr">
        <is>
          <t>Maxam (Blasting)</t>
        </is>
      </c>
      <c r="I145" s="28" t="inlineStr">
        <is>
          <t>Other</t>
        </is>
      </c>
      <c r="J145" s="28" t="inlineStr">
        <is>
          <t>Fall from Height</t>
        </is>
      </c>
      <c r="K145" s="31" t="n">
        <v>1</v>
      </c>
      <c r="L145" s="28" t="inlineStr">
        <is>
          <t>Action Pending</t>
        </is>
      </c>
      <c r="M145" s="29" t="n">
        <v>46050</v>
      </c>
      <c r="N145" s="29" t="n"/>
      <c r="O145" s="28" t="inlineStr">
        <is>
          <t>E. Asante</t>
        </is>
      </c>
      <c r="P145" s="30">
        <f>IF(OR([@Type]="Lost Time Injury",[@Type]="Restricted Work",[@Type]="Medical Treatment"),1,0)</f>
        <v/>
      </c>
      <c r="Q145" s="30">
        <f>IF([@Type]="Lost Time Injury",1,0)</f>
        <v/>
      </c>
      <c r="R145" s="32">
        <f>IF([@Type]="Lost Time Injury",[@Date],"")</f>
        <v/>
      </c>
      <c r="S145" s="30">
        <f>IF(AND([@Status]&lt;&gt;"Closed",[@CAR_Due]&lt;&gt;"",[@CAR_Due]&lt;TODAY()),1,0)</f>
        <v/>
      </c>
      <c r="T145" s="30">
        <f>IF(AND([@Status]&lt;&gt;"Closed",[@CAR_Due]&lt;&gt;"",[@CAR_Due]&lt;TODAY()),TODAY()-[@CAR_Due],0)</f>
        <v/>
      </c>
    </row>
    <row r="146">
      <c r="A146" s="28" t="inlineStr">
        <is>
          <t>INC-0141</t>
        </is>
      </c>
      <c r="B146" s="29" t="n">
        <v>46025</v>
      </c>
      <c r="C146" s="28">
        <f>YEAR([@Date])</f>
        <v/>
      </c>
      <c r="D146" s="28">
        <f>TEXT([@Date],"mmm")</f>
        <v/>
      </c>
      <c r="E146" s="30">
        <f>MONTH([@Date])</f>
        <v/>
      </c>
      <c r="F146" s="28" t="inlineStr">
        <is>
          <t>Explosives Magazine</t>
        </is>
      </c>
      <c r="G146" s="28" t="inlineStr">
        <is>
          <t>Mining</t>
        </is>
      </c>
      <c r="H146" s="28" t="inlineStr">
        <is>
          <t>Maxam (Blasting)</t>
        </is>
      </c>
      <c r="I146" s="28" t="inlineStr">
        <is>
          <t>First Aid</t>
        </is>
      </c>
      <c r="J146" s="28" t="inlineStr">
        <is>
          <t>Chemical / Cyanide Spill</t>
        </is>
      </c>
      <c r="K146" s="31" t="n">
        <v>3</v>
      </c>
      <c r="L146" s="28" t="inlineStr">
        <is>
          <t>Closed</t>
        </is>
      </c>
      <c r="M146" s="29" t="n">
        <v>46027</v>
      </c>
      <c r="N146" s="29" t="n"/>
      <c r="O146" s="28" t="inlineStr">
        <is>
          <t>Y. Darko</t>
        </is>
      </c>
      <c r="P146" s="30">
        <f>IF(OR([@Type]="Lost Time Injury",[@Type]="Restricted Work",[@Type]="Medical Treatment"),1,0)</f>
        <v/>
      </c>
      <c r="Q146" s="30">
        <f>IF([@Type]="Lost Time Injury",1,0)</f>
        <v/>
      </c>
      <c r="R146" s="32">
        <f>IF([@Type]="Lost Time Injury",[@Date],"")</f>
        <v/>
      </c>
      <c r="S146" s="30">
        <f>IF(AND([@Status]&lt;&gt;"Closed",[@CAR_Due]&lt;&gt;"",[@CAR_Due]&lt;TODAY()),1,0)</f>
        <v/>
      </c>
      <c r="T146" s="30">
        <f>IF(AND([@Status]&lt;&gt;"Closed",[@CAR_Due]&lt;&gt;"",[@CAR_Due]&lt;TODAY()),TODAY()-[@CAR_Due],0)</f>
        <v/>
      </c>
    </row>
    <row r="147">
      <c r="A147" s="28" t="inlineStr">
        <is>
          <t>INC-0142</t>
        </is>
      </c>
      <c r="B147" s="29" t="n">
        <v>46080</v>
      </c>
      <c r="C147" s="28">
        <f>YEAR([@Date])</f>
        <v/>
      </c>
      <c r="D147" s="28">
        <f>TEXT([@Date],"mmm")</f>
        <v/>
      </c>
      <c r="E147" s="30">
        <f>MONTH([@Date])</f>
        <v/>
      </c>
      <c r="F147" s="28" t="inlineStr">
        <is>
          <t>Haul Roads</t>
        </is>
      </c>
      <c r="G147" s="28" t="inlineStr">
        <is>
          <t>Mining</t>
        </is>
      </c>
      <c r="H147" s="28" t="inlineStr">
        <is>
          <t>AUMS (Mining Contractor)</t>
        </is>
      </c>
      <c r="I147" s="28" t="inlineStr">
        <is>
          <t>Restricted Work</t>
        </is>
      </c>
      <c r="J147" s="28" t="inlineStr">
        <is>
          <t>Other</t>
        </is>
      </c>
      <c r="K147" s="31" t="n">
        <v>4</v>
      </c>
      <c r="L147" s="28" t="inlineStr">
        <is>
          <t>Closed</t>
        </is>
      </c>
      <c r="M147" s="29" t="n">
        <v>46080</v>
      </c>
      <c r="N147" s="29" t="n">
        <v>46101</v>
      </c>
      <c r="O147" s="28" t="inlineStr">
        <is>
          <t>J. Boateng</t>
        </is>
      </c>
      <c r="P147" s="30">
        <f>IF(OR([@Type]="Lost Time Injury",[@Type]="Restricted Work",[@Type]="Medical Treatment"),1,0)</f>
        <v/>
      </c>
      <c r="Q147" s="30">
        <f>IF([@Type]="Lost Time Injury",1,0)</f>
        <v/>
      </c>
      <c r="R147" s="32">
        <f>IF([@Type]="Lost Time Injury",[@Date],"")</f>
        <v/>
      </c>
      <c r="S147" s="30">
        <f>IF(AND([@Status]&lt;&gt;"Closed",[@CAR_Due]&lt;&gt;"",[@CAR_Due]&lt;TODAY()),1,0)</f>
        <v/>
      </c>
      <c r="T147" s="30">
        <f>IF(AND([@Status]&lt;&gt;"Closed",[@CAR_Due]&lt;&gt;"",[@CAR_Due]&lt;TODAY()),TODAY()-[@CAR_Due],0)</f>
        <v/>
      </c>
    </row>
    <row r="148">
      <c r="A148" s="28" t="inlineStr">
        <is>
          <t>INC-0143</t>
        </is>
      </c>
      <c r="B148" s="29" t="n">
        <v>46061</v>
      </c>
      <c r="C148" s="28">
        <f>YEAR([@Date])</f>
        <v/>
      </c>
      <c r="D148" s="28">
        <f>TEXT([@Date],"mmm")</f>
        <v/>
      </c>
      <c r="E148" s="30">
        <f>MONTH([@Date])</f>
        <v/>
      </c>
      <c r="F148" s="28" t="inlineStr">
        <is>
          <t>Drill &amp; Blast</t>
        </is>
      </c>
      <c r="G148" s="28" t="inlineStr">
        <is>
          <t>Mining</t>
        </is>
      </c>
      <c r="H148" s="28" t="inlineStr">
        <is>
          <t>Maxam (Blasting)</t>
        </is>
      </c>
      <c r="I148" s="28" t="inlineStr">
        <is>
          <t>Medical Treatment</t>
        </is>
      </c>
      <c r="J148" s="28" t="inlineStr">
        <is>
          <t>Security</t>
        </is>
      </c>
      <c r="K148" s="31" t="n">
        <v>1</v>
      </c>
      <c r="L148" s="28" t="inlineStr">
        <is>
          <t>Action Pending</t>
        </is>
      </c>
      <c r="M148" s="29" t="n">
        <v>46061</v>
      </c>
      <c r="N148" s="29" t="n">
        <v>46118</v>
      </c>
      <c r="O148" s="28" t="inlineStr">
        <is>
          <t>S. Addo</t>
        </is>
      </c>
      <c r="P148" s="30">
        <f>IF(OR([@Type]="Lost Time Injury",[@Type]="Restricted Work",[@Type]="Medical Treatment"),1,0)</f>
        <v/>
      </c>
      <c r="Q148" s="30">
        <f>IF([@Type]="Lost Time Injury",1,0)</f>
        <v/>
      </c>
      <c r="R148" s="32">
        <f>IF([@Type]="Lost Time Injury",[@Date],"")</f>
        <v/>
      </c>
      <c r="S148" s="30">
        <f>IF(AND([@Status]&lt;&gt;"Closed",[@CAR_Due]&lt;&gt;"",[@CAR_Due]&lt;TODAY()),1,0)</f>
        <v/>
      </c>
      <c r="T148" s="30">
        <f>IF(AND([@Status]&lt;&gt;"Closed",[@CAR_Due]&lt;&gt;"",[@CAR_Due]&lt;TODAY()),TODAY()-[@CAR_Due],0)</f>
        <v/>
      </c>
    </row>
    <row r="149">
      <c r="A149" s="28" t="inlineStr">
        <is>
          <t>INC-0144</t>
        </is>
      </c>
      <c r="B149" s="29" t="n">
        <v>46067</v>
      </c>
      <c r="C149" s="28">
        <f>YEAR([@Date])</f>
        <v/>
      </c>
      <c r="D149" s="28">
        <f>TEXT([@Date],"mmm")</f>
        <v/>
      </c>
      <c r="E149" s="30">
        <f>MONTH([@Date])</f>
        <v/>
      </c>
      <c r="F149" s="28" t="inlineStr">
        <is>
          <t>Esaase Open Pit</t>
        </is>
      </c>
      <c r="G149" s="28" t="inlineStr">
        <is>
          <t>Mining</t>
        </is>
      </c>
      <c r="H149" s="28" t="inlineStr">
        <is>
          <t>AUMS (Mining Contractor)</t>
        </is>
      </c>
      <c r="I149" s="28" t="inlineStr">
        <is>
          <t>First Aid</t>
        </is>
      </c>
      <c r="J149" s="28" t="inlineStr">
        <is>
          <t>Fire / Explosion</t>
        </is>
      </c>
      <c r="K149" s="31" t="n">
        <v>1</v>
      </c>
      <c r="L149" s="28" t="inlineStr">
        <is>
          <t>Closed</t>
        </is>
      </c>
      <c r="M149" s="29" t="n">
        <v>46068</v>
      </c>
      <c r="N149" s="29" t="n"/>
      <c r="O149" s="28" t="inlineStr">
        <is>
          <t>A. Owusu</t>
        </is>
      </c>
      <c r="P149" s="30">
        <f>IF(OR([@Type]="Lost Time Injury",[@Type]="Restricted Work",[@Type]="Medical Treatment"),1,0)</f>
        <v/>
      </c>
      <c r="Q149" s="30">
        <f>IF([@Type]="Lost Time Injury",1,0)</f>
        <v/>
      </c>
      <c r="R149" s="32">
        <f>IF([@Type]="Lost Time Injury",[@Date],"")</f>
        <v/>
      </c>
      <c r="S149" s="30">
        <f>IF(AND([@Status]&lt;&gt;"Closed",[@CAR_Due]&lt;&gt;"",[@CAR_Due]&lt;TODAY()),1,0)</f>
        <v/>
      </c>
      <c r="T149" s="30">
        <f>IF(AND([@Status]&lt;&gt;"Closed",[@CAR_Due]&lt;&gt;"",[@CAR_Due]&lt;TODAY()),TODAY()-[@CAR_Due],0)</f>
        <v/>
      </c>
    </row>
    <row r="150">
      <c r="A150" s="28" t="inlineStr">
        <is>
          <t>INC-0145</t>
        </is>
      </c>
      <c r="B150" s="29" t="n">
        <v>46077</v>
      </c>
      <c r="C150" s="28">
        <f>YEAR([@Date])</f>
        <v/>
      </c>
      <c r="D150" s="28">
        <f>TEXT([@Date],"mmm")</f>
        <v/>
      </c>
      <c r="E150" s="30">
        <f>MONTH([@Date])</f>
        <v/>
      </c>
      <c r="F150" s="28" t="inlineStr">
        <is>
          <t>Warehouse &amp; Stores</t>
        </is>
      </c>
      <c r="G150" s="28" t="inlineStr">
        <is>
          <t>Logistics</t>
        </is>
      </c>
      <c r="H150" s="28" t="inlineStr">
        <is>
          <t>Owner (Asanko)</t>
        </is>
      </c>
      <c r="I150" s="28" t="inlineStr">
        <is>
          <t>Environmental</t>
        </is>
      </c>
      <c r="J150" s="28" t="inlineStr">
        <is>
          <t>Vehicle / Mobile Equipment</t>
        </is>
      </c>
      <c r="K150" s="31" t="n">
        <v>3</v>
      </c>
      <c r="L150" s="28" t="inlineStr">
        <is>
          <t>Closed</t>
        </is>
      </c>
      <c r="M150" s="29" t="n">
        <v>46077</v>
      </c>
      <c r="N150" s="29" t="n">
        <v>46123</v>
      </c>
      <c r="O150" s="28" t="inlineStr">
        <is>
          <t>Y. Darko</t>
        </is>
      </c>
      <c r="P150" s="30">
        <f>IF(OR([@Type]="Lost Time Injury",[@Type]="Restricted Work",[@Type]="Medical Treatment"),1,0)</f>
        <v/>
      </c>
      <c r="Q150" s="30">
        <f>IF([@Type]="Lost Time Injury",1,0)</f>
        <v/>
      </c>
      <c r="R150" s="32">
        <f>IF([@Type]="Lost Time Injury",[@Date],"")</f>
        <v/>
      </c>
      <c r="S150" s="30">
        <f>IF(AND([@Status]&lt;&gt;"Closed",[@CAR_Due]&lt;&gt;"",[@CAR_Due]&lt;TODAY()),1,0)</f>
        <v/>
      </c>
      <c r="T150" s="30">
        <f>IF(AND([@Status]&lt;&gt;"Closed",[@CAR_Due]&lt;&gt;"",[@CAR_Due]&lt;TODAY()),TODAY()-[@CAR_Due],0)</f>
        <v/>
      </c>
    </row>
    <row r="151">
      <c r="A151" s="28" t="inlineStr">
        <is>
          <t>INC-0146</t>
        </is>
      </c>
      <c r="B151" s="29" t="n">
        <v>46072</v>
      </c>
      <c r="C151" s="28">
        <f>YEAR([@Date])</f>
        <v/>
      </c>
      <c r="D151" s="28">
        <f>TEXT([@Date],"mmm")</f>
        <v/>
      </c>
      <c r="E151" s="30">
        <f>MONTH([@Date])</f>
        <v/>
      </c>
      <c r="F151" s="28" t="inlineStr">
        <is>
          <t>Nkran Open Pit</t>
        </is>
      </c>
      <c r="G151" s="28" t="inlineStr">
        <is>
          <t>Mining</t>
        </is>
      </c>
      <c r="H151" s="28" t="inlineStr">
        <is>
          <t>AUMS (Mining Contractor)</t>
        </is>
      </c>
      <c r="I151" s="28" t="inlineStr">
        <is>
          <t>First Aid</t>
        </is>
      </c>
      <c r="J151" s="28" t="inlineStr">
        <is>
          <t>Caught Between / Struck By</t>
        </is>
      </c>
      <c r="K151" s="31" t="n">
        <v>2</v>
      </c>
      <c r="L151" s="28" t="inlineStr">
        <is>
          <t>Closed</t>
        </is>
      </c>
      <c r="M151" s="29" t="n">
        <v>46073</v>
      </c>
      <c r="N151" s="29" t="n"/>
      <c r="O151" s="28" t="inlineStr">
        <is>
          <t>M. Quaye</t>
        </is>
      </c>
      <c r="P151" s="30">
        <f>IF(OR([@Type]="Lost Time Injury",[@Type]="Restricted Work",[@Type]="Medical Treatment"),1,0)</f>
        <v/>
      </c>
      <c r="Q151" s="30">
        <f>IF([@Type]="Lost Time Injury",1,0)</f>
        <v/>
      </c>
      <c r="R151" s="32">
        <f>IF([@Type]="Lost Time Injury",[@Date],"")</f>
        <v/>
      </c>
      <c r="S151" s="30">
        <f>IF(AND([@Status]&lt;&gt;"Closed",[@CAR_Due]&lt;&gt;"",[@CAR_Due]&lt;TODAY()),1,0)</f>
        <v/>
      </c>
      <c r="T151" s="30">
        <f>IF(AND([@Status]&lt;&gt;"Closed",[@CAR_Due]&lt;&gt;"",[@CAR_Due]&lt;TODAY()),TODAY()-[@CAR_Due],0)</f>
        <v/>
      </c>
    </row>
    <row r="152">
      <c r="A152" s="28" t="inlineStr">
        <is>
          <t>INC-0147</t>
        </is>
      </c>
      <c r="B152" s="29" t="n">
        <v>46112</v>
      </c>
      <c r="C152" s="28">
        <f>YEAR([@Date])</f>
        <v/>
      </c>
      <c r="D152" s="28">
        <f>TEXT([@Date],"mmm")</f>
        <v/>
      </c>
      <c r="E152" s="30">
        <f>MONTH([@Date])</f>
        <v/>
      </c>
      <c r="F152" s="28" t="inlineStr">
        <is>
          <t>Water Treatment</t>
        </is>
      </c>
      <c r="G152" s="28" t="inlineStr">
        <is>
          <t>Environment</t>
        </is>
      </c>
      <c r="H152" s="28" t="inlineStr">
        <is>
          <t>Owner (Asanko)</t>
        </is>
      </c>
      <c r="I152" s="28" t="inlineStr">
        <is>
          <t>First Aid</t>
        </is>
      </c>
      <c r="J152" s="28" t="inlineStr">
        <is>
          <t>Slip / Trip / Fall</t>
        </is>
      </c>
      <c r="K152" s="31" t="n">
        <v>1</v>
      </c>
      <c r="L152" s="28" t="inlineStr">
        <is>
          <t>Under Investigation</t>
        </is>
      </c>
      <c r="M152" s="29" t="n">
        <v>46113</v>
      </c>
      <c r="N152" s="29" t="n"/>
      <c r="O152" s="28" t="inlineStr">
        <is>
          <t>P. Annan</t>
        </is>
      </c>
      <c r="P152" s="30">
        <f>IF(OR([@Type]="Lost Time Injury",[@Type]="Restricted Work",[@Type]="Medical Treatment"),1,0)</f>
        <v/>
      </c>
      <c r="Q152" s="30">
        <f>IF([@Type]="Lost Time Injury",1,0)</f>
        <v/>
      </c>
      <c r="R152" s="32">
        <f>IF([@Type]="Lost Time Injury",[@Date],"")</f>
        <v/>
      </c>
      <c r="S152" s="30">
        <f>IF(AND([@Status]&lt;&gt;"Closed",[@CAR_Due]&lt;&gt;"",[@CAR_Due]&lt;TODAY()),1,0)</f>
        <v/>
      </c>
      <c r="T152" s="30">
        <f>IF(AND([@Status]&lt;&gt;"Closed",[@CAR_Due]&lt;&gt;"",[@CAR_Due]&lt;TODAY()),TODAY()-[@CAR_Due],0)</f>
        <v/>
      </c>
    </row>
    <row r="153">
      <c r="A153" s="28" t="inlineStr">
        <is>
          <t>INC-0148</t>
        </is>
      </c>
      <c r="B153" s="29" t="n">
        <v>46086</v>
      </c>
      <c r="C153" s="28">
        <f>YEAR([@Date])</f>
        <v/>
      </c>
      <c r="D153" s="28">
        <f>TEXT([@Date],"mmm")</f>
        <v/>
      </c>
      <c r="E153" s="30">
        <f>MONTH([@Date])</f>
        <v/>
      </c>
      <c r="F153" s="28" t="inlineStr">
        <is>
          <t>Drill &amp; Blast</t>
        </is>
      </c>
      <c r="G153" s="28" t="inlineStr">
        <is>
          <t>Mining</t>
        </is>
      </c>
      <c r="H153" s="28" t="inlineStr">
        <is>
          <t>Maxam (Blasting)</t>
        </is>
      </c>
      <c r="I153" s="28" t="inlineStr">
        <is>
          <t>Property Damage</t>
        </is>
      </c>
      <c r="J153" s="28" t="inlineStr">
        <is>
          <t>Electrical</t>
        </is>
      </c>
      <c r="K153" s="31" t="n">
        <v>2</v>
      </c>
      <c r="L153" s="28" t="inlineStr">
        <is>
          <t>Action Pending</t>
        </is>
      </c>
      <c r="M153" s="29" t="n">
        <v>46088</v>
      </c>
      <c r="N153" s="29" t="n">
        <v>46121</v>
      </c>
      <c r="O153" s="28" t="inlineStr">
        <is>
          <t>M. Quaye</t>
        </is>
      </c>
      <c r="P153" s="30">
        <f>IF(OR([@Type]="Lost Time Injury",[@Type]="Restricted Work",[@Type]="Medical Treatment"),1,0)</f>
        <v/>
      </c>
      <c r="Q153" s="30">
        <f>IF([@Type]="Lost Time Injury",1,0)</f>
        <v/>
      </c>
      <c r="R153" s="32">
        <f>IF([@Type]="Lost Time Injury",[@Date],"")</f>
        <v/>
      </c>
      <c r="S153" s="30">
        <f>IF(AND([@Status]&lt;&gt;"Closed",[@CAR_Due]&lt;&gt;"",[@CAR_Due]&lt;TODAY()),1,0)</f>
        <v/>
      </c>
      <c r="T153" s="30">
        <f>IF(AND([@Status]&lt;&gt;"Closed",[@CAR_Due]&lt;&gt;"",[@CAR_Due]&lt;TODAY()),TODAY()-[@CAR_Due],0)</f>
        <v/>
      </c>
    </row>
    <row r="154">
      <c r="A154" s="28" t="inlineStr">
        <is>
          <t>INC-0149</t>
        </is>
      </c>
      <c r="B154" s="29" t="n">
        <v>46084</v>
      </c>
      <c r="C154" s="28">
        <f>YEAR([@Date])</f>
        <v/>
      </c>
      <c r="D154" s="28">
        <f>TEXT([@Date],"mmm")</f>
        <v/>
      </c>
      <c r="E154" s="30">
        <f>MONTH([@Date])</f>
        <v/>
      </c>
      <c r="F154" s="28" t="inlineStr">
        <is>
          <t>Tailings Storage Facility</t>
        </is>
      </c>
      <c r="G154" s="28" t="inlineStr">
        <is>
          <t>Environment</t>
        </is>
      </c>
      <c r="H154" s="28" t="inlineStr">
        <is>
          <t>Owner (Asanko)</t>
        </is>
      </c>
      <c r="I154" s="28" t="inlineStr">
        <is>
          <t>Property Damage</t>
        </is>
      </c>
      <c r="J154" s="28" t="inlineStr">
        <is>
          <t>Vehicle / Mobile Equipment</t>
        </is>
      </c>
      <c r="K154" s="31" t="n">
        <v>3</v>
      </c>
      <c r="L154" s="28" t="inlineStr">
        <is>
          <t>Closed</t>
        </is>
      </c>
      <c r="M154" s="29" t="n">
        <v>46085</v>
      </c>
      <c r="N154" s="29" t="n">
        <v>46123</v>
      </c>
      <c r="O154" s="28" t="inlineStr">
        <is>
          <t>Y. Darko</t>
        </is>
      </c>
      <c r="P154" s="30">
        <f>IF(OR([@Type]="Lost Time Injury",[@Type]="Restricted Work",[@Type]="Medical Treatment"),1,0)</f>
        <v/>
      </c>
      <c r="Q154" s="30">
        <f>IF([@Type]="Lost Time Injury",1,0)</f>
        <v/>
      </c>
      <c r="R154" s="32">
        <f>IF([@Type]="Lost Time Injury",[@Date],"")</f>
        <v/>
      </c>
      <c r="S154" s="30">
        <f>IF(AND([@Status]&lt;&gt;"Closed",[@CAR_Due]&lt;&gt;"",[@CAR_Due]&lt;TODAY()),1,0)</f>
        <v/>
      </c>
      <c r="T154" s="30">
        <f>IF(AND([@Status]&lt;&gt;"Closed",[@CAR_Due]&lt;&gt;"",[@CAR_Due]&lt;TODAY()),TODAY()-[@CAR_Due],0)</f>
        <v/>
      </c>
    </row>
    <row r="155">
      <c r="A155" s="28" t="inlineStr">
        <is>
          <t>INC-0150</t>
        </is>
      </c>
      <c r="B155" s="29" t="n">
        <v>46100</v>
      </c>
      <c r="C155" s="28">
        <f>YEAR([@Date])</f>
        <v/>
      </c>
      <c r="D155" s="28">
        <f>TEXT([@Date],"mmm")</f>
        <v/>
      </c>
      <c r="E155" s="30">
        <f>MONTH([@Date])</f>
        <v/>
      </c>
      <c r="F155" s="28" t="inlineStr">
        <is>
          <t>Haul Roads</t>
        </is>
      </c>
      <c r="G155" s="28" t="inlineStr">
        <is>
          <t>Mining</t>
        </is>
      </c>
      <c r="H155" s="28" t="inlineStr">
        <is>
          <t>AUMS (Mining Contractor)</t>
        </is>
      </c>
      <c r="I155" s="28" t="inlineStr">
        <is>
          <t>Environmental</t>
        </is>
      </c>
      <c r="J155" s="28" t="inlineStr">
        <is>
          <t>Security</t>
        </is>
      </c>
      <c r="K155" s="31" t="n">
        <v>3</v>
      </c>
      <c r="L155" s="28" t="inlineStr">
        <is>
          <t>Closed</t>
        </is>
      </c>
      <c r="M155" s="29" t="n">
        <v>46100</v>
      </c>
      <c r="N155" s="29" t="n">
        <v>46127</v>
      </c>
      <c r="O155" s="28" t="inlineStr">
        <is>
          <t>M. Quaye</t>
        </is>
      </c>
      <c r="P155" s="30">
        <f>IF(OR([@Type]="Lost Time Injury",[@Type]="Restricted Work",[@Type]="Medical Treatment"),1,0)</f>
        <v/>
      </c>
      <c r="Q155" s="30">
        <f>IF([@Type]="Lost Time Injury",1,0)</f>
        <v/>
      </c>
      <c r="R155" s="32">
        <f>IF([@Type]="Lost Time Injury",[@Date],"")</f>
        <v/>
      </c>
      <c r="S155" s="30">
        <f>IF(AND([@Status]&lt;&gt;"Closed",[@CAR_Due]&lt;&gt;"",[@CAR_Due]&lt;TODAY()),1,0)</f>
        <v/>
      </c>
      <c r="T155" s="30">
        <f>IF(AND([@Status]&lt;&gt;"Closed",[@CAR_Due]&lt;&gt;"",[@CAR_Due]&lt;TODAY()),TODAY()-[@CAR_Due],0)</f>
        <v/>
      </c>
    </row>
    <row r="156">
      <c r="A156" s="28" t="inlineStr">
        <is>
          <t>INC-0151</t>
        </is>
      </c>
      <c r="B156" s="29" t="n">
        <v>46122</v>
      </c>
      <c r="C156" s="28">
        <f>YEAR([@Date])</f>
        <v/>
      </c>
      <c r="D156" s="28">
        <f>TEXT([@Date],"mmm")</f>
        <v/>
      </c>
      <c r="E156" s="30">
        <f>MONTH([@Date])</f>
        <v/>
      </c>
      <c r="F156" s="28" t="inlineStr">
        <is>
          <t>Power Station</t>
        </is>
      </c>
      <c r="G156" s="28" t="inlineStr">
        <is>
          <t>Engineering</t>
        </is>
      </c>
      <c r="H156" s="28" t="inlineStr">
        <is>
          <t>Genser (Power)</t>
        </is>
      </c>
      <c r="I156" s="28" t="inlineStr">
        <is>
          <t>Lost Time Injury</t>
        </is>
      </c>
      <c r="J156" s="28" t="inlineStr">
        <is>
          <t>Vehicle / Mobile Equipment</t>
        </is>
      </c>
      <c r="K156" s="31" t="n">
        <v>5</v>
      </c>
      <c r="L156" s="28" t="inlineStr">
        <is>
          <t>Action Pending</t>
        </is>
      </c>
      <c r="M156" s="29" t="n">
        <v>46123</v>
      </c>
      <c r="N156" s="29" t="n">
        <v>46155</v>
      </c>
      <c r="O156" s="28" t="inlineStr">
        <is>
          <t>S. Addo</t>
        </is>
      </c>
      <c r="P156" s="30">
        <f>IF(OR([@Type]="Lost Time Injury",[@Type]="Restricted Work",[@Type]="Medical Treatment"),1,0)</f>
        <v/>
      </c>
      <c r="Q156" s="30">
        <f>IF([@Type]="Lost Time Injury",1,0)</f>
        <v/>
      </c>
      <c r="R156" s="32">
        <f>IF([@Type]="Lost Time Injury",[@Date],"")</f>
        <v/>
      </c>
      <c r="S156" s="30">
        <f>IF(AND([@Status]&lt;&gt;"Closed",[@CAR_Due]&lt;&gt;"",[@CAR_Due]&lt;TODAY()),1,0)</f>
        <v/>
      </c>
      <c r="T156" s="30">
        <f>IF(AND([@Status]&lt;&gt;"Closed",[@CAR_Due]&lt;&gt;"",[@CAR_Due]&lt;TODAY()),TODAY()-[@CAR_Due],0)</f>
        <v/>
      </c>
    </row>
    <row r="157">
      <c r="A157" s="28" t="inlineStr">
        <is>
          <t>INC-0152</t>
        </is>
      </c>
      <c r="B157" s="29" t="n">
        <v>46137</v>
      </c>
      <c r="C157" s="28">
        <f>YEAR([@Date])</f>
        <v/>
      </c>
      <c r="D157" s="28">
        <f>TEXT([@Date],"mmm")</f>
        <v/>
      </c>
      <c r="E157" s="30">
        <f>MONTH([@Date])</f>
        <v/>
      </c>
      <c r="F157" s="28" t="inlineStr">
        <is>
          <t>Elution &amp; Gold Room</t>
        </is>
      </c>
      <c r="G157" s="28" t="inlineStr">
        <is>
          <t>Processing</t>
        </is>
      </c>
      <c r="H157" s="28" t="inlineStr">
        <is>
          <t>Owner (Asanko)</t>
        </is>
      </c>
      <c r="I157" s="28" t="inlineStr">
        <is>
          <t>First Aid</t>
        </is>
      </c>
      <c r="J157" s="28" t="inlineStr">
        <is>
          <t>Occupational Illness</t>
        </is>
      </c>
      <c r="K157" s="31" t="n">
        <v>1</v>
      </c>
      <c r="L157" s="28" t="inlineStr">
        <is>
          <t>Action Pending</t>
        </is>
      </c>
      <c r="M157" s="29" t="n">
        <v>46137</v>
      </c>
      <c r="N157" s="29" t="n"/>
      <c r="O157" s="28" t="inlineStr">
        <is>
          <t>S. Addo</t>
        </is>
      </c>
      <c r="P157" s="30">
        <f>IF(OR([@Type]="Lost Time Injury",[@Type]="Restricted Work",[@Type]="Medical Treatment"),1,0)</f>
        <v/>
      </c>
      <c r="Q157" s="30">
        <f>IF([@Type]="Lost Time Injury",1,0)</f>
        <v/>
      </c>
      <c r="R157" s="32">
        <f>IF([@Type]="Lost Time Injury",[@Date],"")</f>
        <v/>
      </c>
      <c r="S157" s="30">
        <f>IF(AND([@Status]&lt;&gt;"Closed",[@CAR_Due]&lt;&gt;"",[@CAR_Due]&lt;TODAY()),1,0)</f>
        <v/>
      </c>
      <c r="T157" s="30">
        <f>IF(AND([@Status]&lt;&gt;"Closed",[@CAR_Due]&lt;&gt;"",[@CAR_Due]&lt;TODAY()),TODAY()-[@CAR_Due],0)</f>
        <v/>
      </c>
    </row>
    <row r="158">
      <c r="A158" s="28" t="inlineStr">
        <is>
          <t>INC-0153</t>
        </is>
      </c>
      <c r="B158" s="29" t="n">
        <v>46132</v>
      </c>
      <c r="C158" s="28">
        <f>YEAR([@Date])</f>
        <v/>
      </c>
      <c r="D158" s="28">
        <f>TEXT([@Date],"mmm")</f>
        <v/>
      </c>
      <c r="E158" s="30">
        <f>MONTH([@Date])</f>
        <v/>
      </c>
      <c r="F158" s="28" t="inlineStr">
        <is>
          <t>Power Station</t>
        </is>
      </c>
      <c r="G158" s="28" t="inlineStr">
        <is>
          <t>Engineering</t>
        </is>
      </c>
      <c r="H158" s="28" t="inlineStr">
        <is>
          <t>Genser (Power)</t>
        </is>
      </c>
      <c r="I158" s="28" t="inlineStr">
        <is>
          <t>Medical Treatment</t>
        </is>
      </c>
      <c r="J158" s="28" t="inlineStr">
        <is>
          <t>Other</t>
        </is>
      </c>
      <c r="K158" s="31" t="n">
        <v>1</v>
      </c>
      <c r="L158" s="28" t="inlineStr">
        <is>
          <t>Action Pending</t>
        </is>
      </c>
      <c r="M158" s="29" t="n">
        <v>46134</v>
      </c>
      <c r="N158" s="29" t="n">
        <v>46157</v>
      </c>
      <c r="O158" s="28" t="inlineStr">
        <is>
          <t>F. Agyeman</t>
        </is>
      </c>
      <c r="P158" s="30">
        <f>IF(OR([@Type]="Lost Time Injury",[@Type]="Restricted Work",[@Type]="Medical Treatment"),1,0)</f>
        <v/>
      </c>
      <c r="Q158" s="30">
        <f>IF([@Type]="Lost Time Injury",1,0)</f>
        <v/>
      </c>
      <c r="R158" s="32">
        <f>IF([@Type]="Lost Time Injury",[@Date],"")</f>
        <v/>
      </c>
      <c r="S158" s="30">
        <f>IF(AND([@Status]&lt;&gt;"Closed",[@CAR_Due]&lt;&gt;"",[@CAR_Due]&lt;TODAY()),1,0)</f>
        <v/>
      </c>
      <c r="T158" s="30">
        <f>IF(AND([@Status]&lt;&gt;"Closed",[@CAR_Due]&lt;&gt;"",[@CAR_Due]&lt;TODAY()),TODAY()-[@CAR_Due],0)</f>
        <v/>
      </c>
    </row>
    <row r="159">
      <c r="A159" s="28" t="inlineStr">
        <is>
          <t>INC-0154</t>
        </is>
      </c>
      <c r="B159" s="29" t="n">
        <v>46120</v>
      </c>
      <c r="C159" s="28">
        <f>YEAR([@Date])</f>
        <v/>
      </c>
      <c r="D159" s="28">
        <f>TEXT([@Date],"mmm")</f>
        <v/>
      </c>
      <c r="E159" s="30">
        <f>MONTH([@Date])</f>
        <v/>
      </c>
      <c r="F159" s="28" t="inlineStr">
        <is>
          <t>Power Station</t>
        </is>
      </c>
      <c r="G159" s="28" t="inlineStr">
        <is>
          <t>Engineering</t>
        </is>
      </c>
      <c r="H159" s="28" t="inlineStr">
        <is>
          <t>Genser (Power)</t>
        </is>
      </c>
      <c r="I159" s="28" t="inlineStr">
        <is>
          <t>Property Damage</t>
        </is>
      </c>
      <c r="J159" s="28" t="inlineStr">
        <is>
          <t>Chemical / Cyanide Spill</t>
        </is>
      </c>
      <c r="K159" s="31" t="n">
        <v>2</v>
      </c>
      <c r="L159" s="28" t="inlineStr">
        <is>
          <t>Open</t>
        </is>
      </c>
      <c r="M159" s="29" t="n">
        <v>46122</v>
      </c>
      <c r="N159" s="29" t="n">
        <v>46148</v>
      </c>
      <c r="O159" s="28" t="inlineStr">
        <is>
          <t>J. Boateng</t>
        </is>
      </c>
      <c r="P159" s="30">
        <f>IF(OR([@Type]="Lost Time Injury",[@Type]="Restricted Work",[@Type]="Medical Treatment"),1,0)</f>
        <v/>
      </c>
      <c r="Q159" s="30">
        <f>IF([@Type]="Lost Time Injury",1,0)</f>
        <v/>
      </c>
      <c r="R159" s="32">
        <f>IF([@Type]="Lost Time Injury",[@Date],"")</f>
        <v/>
      </c>
      <c r="S159" s="30">
        <f>IF(AND([@Status]&lt;&gt;"Closed",[@CAR_Due]&lt;&gt;"",[@CAR_Due]&lt;TODAY()),1,0)</f>
        <v/>
      </c>
      <c r="T159" s="30">
        <f>IF(AND([@Status]&lt;&gt;"Closed",[@CAR_Due]&lt;&gt;"",[@CAR_Due]&lt;TODAY()),TODAY()-[@CAR_Due],0)</f>
        <v/>
      </c>
    </row>
    <row r="160">
      <c r="A160" s="28" t="inlineStr">
        <is>
          <t>INC-0155</t>
        </is>
      </c>
      <c r="B160" s="29" t="n">
        <v>46133</v>
      </c>
      <c r="C160" s="28">
        <f>YEAR([@Date])</f>
        <v/>
      </c>
      <c r="D160" s="28">
        <f>TEXT([@Date],"mmm")</f>
        <v/>
      </c>
      <c r="E160" s="30">
        <f>MONTH([@Date])</f>
        <v/>
      </c>
      <c r="F160" s="28" t="inlineStr">
        <is>
          <t>Crushing Circuit</t>
        </is>
      </c>
      <c r="G160" s="28" t="inlineStr">
        <is>
          <t>Processing</t>
        </is>
      </c>
      <c r="H160" s="28" t="inlineStr">
        <is>
          <t>Owner (Asanko)</t>
        </is>
      </c>
      <c r="I160" s="28" t="inlineStr">
        <is>
          <t>Other</t>
        </is>
      </c>
      <c r="J160" s="28" t="inlineStr">
        <is>
          <t>Fall from Height</t>
        </is>
      </c>
      <c r="K160" s="31" t="n">
        <v>1</v>
      </c>
      <c r="L160" s="28" t="inlineStr">
        <is>
          <t>Action Pending</t>
        </is>
      </c>
      <c r="M160" s="29" t="n">
        <v>46135</v>
      </c>
      <c r="N160" s="29" t="n"/>
      <c r="O160" s="28" t="inlineStr">
        <is>
          <t>M. Quaye</t>
        </is>
      </c>
      <c r="P160" s="30">
        <f>IF(OR([@Type]="Lost Time Injury",[@Type]="Restricted Work",[@Type]="Medical Treatment"),1,0)</f>
        <v/>
      </c>
      <c r="Q160" s="30">
        <f>IF([@Type]="Lost Time Injury",1,0)</f>
        <v/>
      </c>
      <c r="R160" s="32">
        <f>IF([@Type]="Lost Time Injury",[@Date],"")</f>
        <v/>
      </c>
      <c r="S160" s="30">
        <f>IF(AND([@Status]&lt;&gt;"Closed",[@CAR_Due]&lt;&gt;"",[@CAR_Due]&lt;TODAY()),1,0)</f>
        <v/>
      </c>
      <c r="T160" s="30">
        <f>IF(AND([@Status]&lt;&gt;"Closed",[@CAR_Due]&lt;&gt;"",[@CAR_Due]&lt;TODAY()),TODAY()-[@CAR_Due],0)</f>
        <v/>
      </c>
    </row>
    <row r="161">
      <c r="A161" s="28" t="inlineStr">
        <is>
          <t>INC-0156</t>
        </is>
      </c>
      <c r="B161" s="29" t="n">
        <v>46122</v>
      </c>
      <c r="C161" s="28">
        <f>YEAR([@Date])</f>
        <v/>
      </c>
      <c r="D161" s="28">
        <f>TEXT([@Date],"mmm")</f>
        <v/>
      </c>
      <c r="E161" s="30">
        <f>MONTH([@Date])</f>
        <v/>
      </c>
      <c r="F161" s="28" t="inlineStr">
        <is>
          <t>Security Gatehouse</t>
        </is>
      </c>
      <c r="G161" s="28" t="inlineStr">
        <is>
          <t>Security</t>
        </is>
      </c>
      <c r="H161" s="28" t="inlineStr">
        <is>
          <t>G4S (Security)</t>
        </is>
      </c>
      <c r="I161" s="28" t="inlineStr">
        <is>
          <t>Property Damage</t>
        </is>
      </c>
      <c r="J161" s="28" t="inlineStr">
        <is>
          <t>Other</t>
        </is>
      </c>
      <c r="K161" s="31" t="n">
        <v>2</v>
      </c>
      <c r="L161" s="28" t="inlineStr">
        <is>
          <t>Under Investigation</t>
        </is>
      </c>
      <c r="M161" s="29" t="n">
        <v>46123</v>
      </c>
      <c r="N161" s="29" t="n">
        <v>46170</v>
      </c>
      <c r="O161" s="28" t="inlineStr">
        <is>
          <t>Y. Darko</t>
        </is>
      </c>
      <c r="P161" s="30">
        <f>IF(OR([@Type]="Lost Time Injury",[@Type]="Restricted Work",[@Type]="Medical Treatment"),1,0)</f>
        <v/>
      </c>
      <c r="Q161" s="30">
        <f>IF([@Type]="Lost Time Injury",1,0)</f>
        <v/>
      </c>
      <c r="R161" s="32">
        <f>IF([@Type]="Lost Time Injury",[@Date],"")</f>
        <v/>
      </c>
      <c r="S161" s="30">
        <f>IF(AND([@Status]&lt;&gt;"Closed",[@CAR_Due]&lt;&gt;"",[@CAR_Due]&lt;TODAY()),1,0)</f>
        <v/>
      </c>
      <c r="T161" s="30">
        <f>IF(AND([@Status]&lt;&gt;"Closed",[@CAR_Due]&lt;&gt;"",[@CAR_Due]&lt;TODAY()),TODAY()-[@CAR_Due],0)</f>
        <v/>
      </c>
    </row>
    <row r="162">
      <c r="A162" s="28" t="inlineStr">
        <is>
          <t>INC-0157</t>
        </is>
      </c>
      <c r="B162" s="29" t="n">
        <v>46129</v>
      </c>
      <c r="C162" s="28">
        <f>YEAR([@Date])</f>
        <v/>
      </c>
      <c r="D162" s="28">
        <f>TEXT([@Date],"mmm")</f>
        <v/>
      </c>
      <c r="E162" s="30">
        <f>MONTH([@Date])</f>
        <v/>
      </c>
      <c r="F162" s="28" t="inlineStr">
        <is>
          <t>Elution &amp; Gold Room</t>
        </is>
      </c>
      <c r="G162" s="28" t="inlineStr">
        <is>
          <t>Processing</t>
        </is>
      </c>
      <c r="H162" s="28" t="inlineStr">
        <is>
          <t>Owner (Asanko)</t>
        </is>
      </c>
      <c r="I162" s="28" t="inlineStr">
        <is>
          <t>Environmental</t>
        </is>
      </c>
      <c r="J162" s="28" t="inlineStr">
        <is>
          <t>Caught Between / Struck By</t>
        </is>
      </c>
      <c r="K162" s="31" t="n">
        <v>2</v>
      </c>
      <c r="L162" s="28" t="inlineStr">
        <is>
          <t>Closed</t>
        </is>
      </c>
      <c r="M162" s="29" t="n">
        <v>46130</v>
      </c>
      <c r="N162" s="29" t="n">
        <v>46189</v>
      </c>
      <c r="O162" s="28" t="inlineStr">
        <is>
          <t>E. Asante</t>
        </is>
      </c>
      <c r="P162" s="30">
        <f>IF(OR([@Type]="Lost Time Injury",[@Type]="Restricted Work",[@Type]="Medical Treatment"),1,0)</f>
        <v/>
      </c>
      <c r="Q162" s="30">
        <f>IF([@Type]="Lost Time Injury",1,0)</f>
        <v/>
      </c>
      <c r="R162" s="32">
        <f>IF([@Type]="Lost Time Injury",[@Date],"")</f>
        <v/>
      </c>
      <c r="S162" s="30">
        <f>IF(AND([@Status]&lt;&gt;"Closed",[@CAR_Due]&lt;&gt;"",[@CAR_Due]&lt;TODAY()),1,0)</f>
        <v/>
      </c>
      <c r="T162" s="30">
        <f>IF(AND([@Status]&lt;&gt;"Closed",[@CAR_Due]&lt;&gt;"",[@CAR_Due]&lt;TODAY()),TODAY()-[@CAR_Due],0)</f>
        <v/>
      </c>
    </row>
    <row r="163">
      <c r="A163" s="28" t="inlineStr">
        <is>
          <t>INC-0158</t>
        </is>
      </c>
      <c r="B163" s="29" t="n">
        <v>46122</v>
      </c>
      <c r="C163" s="28">
        <f>YEAR([@Date])</f>
        <v/>
      </c>
      <c r="D163" s="28">
        <f>TEXT([@Date],"mmm")</f>
        <v/>
      </c>
      <c r="E163" s="30">
        <f>MONTH([@Date])</f>
        <v/>
      </c>
      <c r="F163" s="28" t="inlineStr">
        <is>
          <t>Elution &amp; Gold Room</t>
        </is>
      </c>
      <c r="G163" s="28" t="inlineStr">
        <is>
          <t>Processing</t>
        </is>
      </c>
      <c r="H163" s="28" t="inlineStr">
        <is>
          <t>Owner (Asanko)</t>
        </is>
      </c>
      <c r="I163" s="28" t="inlineStr">
        <is>
          <t>Other</t>
        </is>
      </c>
      <c r="J163" s="28" t="inlineStr">
        <is>
          <t>Electrical</t>
        </is>
      </c>
      <c r="K163" s="31" t="n">
        <v>2</v>
      </c>
      <c r="L163" s="28" t="inlineStr">
        <is>
          <t>Under Investigation</t>
        </is>
      </c>
      <c r="M163" s="29" t="n">
        <v>46122</v>
      </c>
      <c r="N163" s="29" t="n"/>
      <c r="O163" s="28" t="inlineStr">
        <is>
          <t>P. Annan</t>
        </is>
      </c>
      <c r="P163" s="30">
        <f>IF(OR([@Type]="Lost Time Injury",[@Type]="Restricted Work",[@Type]="Medical Treatment"),1,0)</f>
        <v/>
      </c>
      <c r="Q163" s="30">
        <f>IF([@Type]="Lost Time Injury",1,0)</f>
        <v/>
      </c>
      <c r="R163" s="32">
        <f>IF([@Type]="Lost Time Injury",[@Date],"")</f>
        <v/>
      </c>
      <c r="S163" s="30">
        <f>IF(AND([@Status]&lt;&gt;"Closed",[@CAR_Due]&lt;&gt;"",[@CAR_Due]&lt;TODAY()),1,0)</f>
        <v/>
      </c>
      <c r="T163" s="30">
        <f>IF(AND([@Status]&lt;&gt;"Closed",[@CAR_Due]&lt;&gt;"",[@CAR_Due]&lt;TODAY()),TODAY()-[@CAR_Due],0)</f>
        <v/>
      </c>
    </row>
    <row r="164">
      <c r="A164" s="28" t="inlineStr">
        <is>
          <t>INC-0159</t>
        </is>
      </c>
      <c r="B164" s="29" t="n">
        <v>46131</v>
      </c>
      <c r="C164" s="28">
        <f>YEAR([@Date])</f>
        <v/>
      </c>
      <c r="D164" s="28">
        <f>TEXT([@Date],"mmm")</f>
        <v/>
      </c>
      <c r="E164" s="30">
        <f>MONTH([@Date])</f>
        <v/>
      </c>
      <c r="F164" s="28" t="inlineStr">
        <is>
          <t>Elution &amp; Gold Room</t>
        </is>
      </c>
      <c r="G164" s="28" t="inlineStr">
        <is>
          <t>Processing</t>
        </is>
      </c>
      <c r="H164" s="28" t="inlineStr">
        <is>
          <t>Owner (Asanko)</t>
        </is>
      </c>
      <c r="I164" s="28" t="inlineStr">
        <is>
          <t>First Aid</t>
        </is>
      </c>
      <c r="J164" s="28" t="inlineStr">
        <is>
          <t>Security</t>
        </is>
      </c>
      <c r="K164" s="31" t="n">
        <v>1</v>
      </c>
      <c r="L164" s="28" t="inlineStr">
        <is>
          <t>Closed</t>
        </is>
      </c>
      <c r="M164" s="29" t="n">
        <v>46132</v>
      </c>
      <c r="N164" s="29" t="n"/>
      <c r="O164" s="28" t="inlineStr">
        <is>
          <t>E. Asante</t>
        </is>
      </c>
      <c r="P164" s="30">
        <f>IF(OR([@Type]="Lost Time Injury",[@Type]="Restricted Work",[@Type]="Medical Treatment"),1,0)</f>
        <v/>
      </c>
      <c r="Q164" s="30">
        <f>IF([@Type]="Lost Time Injury",1,0)</f>
        <v/>
      </c>
      <c r="R164" s="32">
        <f>IF([@Type]="Lost Time Injury",[@Date],"")</f>
        <v/>
      </c>
      <c r="S164" s="30">
        <f>IF(AND([@Status]&lt;&gt;"Closed",[@CAR_Due]&lt;&gt;"",[@CAR_Due]&lt;TODAY()),1,0)</f>
        <v/>
      </c>
      <c r="T164" s="30">
        <f>IF(AND([@Status]&lt;&gt;"Closed",[@CAR_Due]&lt;&gt;"",[@CAR_Due]&lt;TODAY()),TODAY()-[@CAR_Due],0)</f>
        <v/>
      </c>
    </row>
    <row r="165">
      <c r="A165" s="28" t="inlineStr">
        <is>
          <t>INC-0160</t>
        </is>
      </c>
      <c r="B165" s="29" t="n">
        <v>46154</v>
      </c>
      <c r="C165" s="28">
        <f>YEAR([@Date])</f>
        <v/>
      </c>
      <c r="D165" s="28">
        <f>TEXT([@Date],"mmm")</f>
        <v/>
      </c>
      <c r="E165" s="30">
        <f>MONTH([@Date])</f>
        <v/>
      </c>
      <c r="F165" s="28" t="inlineStr">
        <is>
          <t>Administration</t>
        </is>
      </c>
      <c r="G165" s="28" t="inlineStr">
        <is>
          <t>Administration</t>
        </is>
      </c>
      <c r="H165" s="28" t="inlineStr">
        <is>
          <t>Owner (Asanko)</t>
        </is>
      </c>
      <c r="I165" s="28" t="inlineStr">
        <is>
          <t>First Aid</t>
        </is>
      </c>
      <c r="J165" s="28" t="inlineStr">
        <is>
          <t>Caught Between / Struck By</t>
        </is>
      </c>
      <c r="K165" s="31" t="n">
        <v>2</v>
      </c>
      <c r="L165" s="28" t="inlineStr">
        <is>
          <t>Open</t>
        </is>
      </c>
      <c r="M165" s="29" t="n">
        <v>46155</v>
      </c>
      <c r="N165" s="29" t="n"/>
      <c r="O165" s="28" t="inlineStr">
        <is>
          <t>F. Agyeman</t>
        </is>
      </c>
      <c r="P165" s="30">
        <f>IF(OR([@Type]="Lost Time Injury",[@Type]="Restricted Work",[@Type]="Medical Treatment"),1,0)</f>
        <v/>
      </c>
      <c r="Q165" s="30">
        <f>IF([@Type]="Lost Time Injury",1,0)</f>
        <v/>
      </c>
      <c r="R165" s="32">
        <f>IF([@Type]="Lost Time Injury",[@Date],"")</f>
        <v/>
      </c>
      <c r="S165" s="30">
        <f>IF(AND([@Status]&lt;&gt;"Closed",[@CAR_Due]&lt;&gt;"",[@CAR_Due]&lt;TODAY()),1,0)</f>
        <v/>
      </c>
      <c r="T165" s="30">
        <f>IF(AND([@Status]&lt;&gt;"Closed",[@CAR_Due]&lt;&gt;"",[@CAR_Due]&lt;TODAY()),TODAY()-[@CAR_Due],0)</f>
        <v/>
      </c>
    </row>
    <row r="166">
      <c r="A166" s="28" t="inlineStr">
        <is>
          <t>INC-0161</t>
        </is>
      </c>
      <c r="B166" s="29" t="n">
        <v>46169</v>
      </c>
      <c r="C166" s="28">
        <f>YEAR([@Date])</f>
        <v/>
      </c>
      <c r="D166" s="28">
        <f>TEXT([@Date],"mmm")</f>
        <v/>
      </c>
      <c r="E166" s="30">
        <f>MONTH([@Date])</f>
        <v/>
      </c>
      <c r="F166" s="28" t="inlineStr">
        <is>
          <t>Crushing Circuit</t>
        </is>
      </c>
      <c r="G166" s="28" t="inlineStr">
        <is>
          <t>Processing</t>
        </is>
      </c>
      <c r="H166" s="28" t="inlineStr">
        <is>
          <t>Owner (Asanko)</t>
        </is>
      </c>
      <c r="I166" s="28" t="inlineStr">
        <is>
          <t>First Aid</t>
        </is>
      </c>
      <c r="J166" s="28" t="inlineStr">
        <is>
          <t>Vehicle / Mobile Equipment</t>
        </is>
      </c>
      <c r="K166" s="31" t="n">
        <v>1</v>
      </c>
      <c r="L166" s="28" t="inlineStr">
        <is>
          <t>Action Pending</t>
        </is>
      </c>
      <c r="M166" s="29" t="n">
        <v>46169</v>
      </c>
      <c r="N166" s="29" t="n"/>
      <c r="O166" s="28" t="inlineStr">
        <is>
          <t>A. Owusu</t>
        </is>
      </c>
      <c r="P166" s="30">
        <f>IF(OR([@Type]="Lost Time Injury",[@Type]="Restricted Work",[@Type]="Medical Treatment"),1,0)</f>
        <v/>
      </c>
      <c r="Q166" s="30">
        <f>IF([@Type]="Lost Time Injury",1,0)</f>
        <v/>
      </c>
      <c r="R166" s="32">
        <f>IF([@Type]="Lost Time Injury",[@Date],"")</f>
        <v/>
      </c>
      <c r="S166" s="30">
        <f>IF(AND([@Status]&lt;&gt;"Closed",[@CAR_Due]&lt;&gt;"",[@CAR_Due]&lt;TODAY()),1,0)</f>
        <v/>
      </c>
      <c r="T166" s="30">
        <f>IF(AND([@Status]&lt;&gt;"Closed",[@CAR_Due]&lt;&gt;"",[@CAR_Due]&lt;TODAY()),TODAY()-[@CAR_Due],0)</f>
        <v/>
      </c>
    </row>
    <row r="167">
      <c r="A167" s="28" t="inlineStr">
        <is>
          <t>INC-0162</t>
        </is>
      </c>
      <c r="B167" s="29" t="n">
        <v>46161</v>
      </c>
      <c r="C167" s="28">
        <f>YEAR([@Date])</f>
        <v/>
      </c>
      <c r="D167" s="28">
        <f>TEXT([@Date],"mmm")</f>
        <v/>
      </c>
      <c r="E167" s="30">
        <f>MONTH([@Date])</f>
        <v/>
      </c>
      <c r="F167" s="28" t="inlineStr">
        <is>
          <t>Administration</t>
        </is>
      </c>
      <c r="G167" s="28" t="inlineStr">
        <is>
          <t>Administration</t>
        </is>
      </c>
      <c r="H167" s="28" t="inlineStr">
        <is>
          <t>Owner (Asanko)</t>
        </is>
      </c>
      <c r="I167" s="28" t="inlineStr">
        <is>
          <t>First Aid</t>
        </is>
      </c>
      <c r="J167" s="28" t="inlineStr">
        <is>
          <t>Slip / Trip / Fall</t>
        </is>
      </c>
      <c r="K167" s="31" t="n">
        <v>2</v>
      </c>
      <c r="L167" s="28" t="inlineStr">
        <is>
          <t>Under Investigation</t>
        </is>
      </c>
      <c r="M167" s="29" t="n">
        <v>46161</v>
      </c>
      <c r="N167" s="29" t="n"/>
      <c r="O167" s="28" t="inlineStr">
        <is>
          <t>D. Tetteh</t>
        </is>
      </c>
      <c r="P167" s="30">
        <f>IF(OR([@Type]="Lost Time Injury",[@Type]="Restricted Work",[@Type]="Medical Treatment"),1,0)</f>
        <v/>
      </c>
      <c r="Q167" s="30">
        <f>IF([@Type]="Lost Time Injury",1,0)</f>
        <v/>
      </c>
      <c r="R167" s="32">
        <f>IF([@Type]="Lost Time Injury",[@Date],"")</f>
        <v/>
      </c>
      <c r="S167" s="30">
        <f>IF(AND([@Status]&lt;&gt;"Closed",[@CAR_Due]&lt;&gt;"",[@CAR_Due]&lt;TODAY()),1,0)</f>
        <v/>
      </c>
      <c r="T167" s="30">
        <f>IF(AND([@Status]&lt;&gt;"Closed",[@CAR_Due]&lt;&gt;"",[@CAR_Due]&lt;TODAY()),TODAY()-[@CAR_Due],0)</f>
        <v/>
      </c>
    </row>
    <row r="168">
      <c r="A168" s="28" t="inlineStr">
        <is>
          <t>INC-0163</t>
        </is>
      </c>
      <c r="B168" s="29" t="n">
        <v>46148</v>
      </c>
      <c r="C168" s="28">
        <f>YEAR([@Date])</f>
        <v/>
      </c>
      <c r="D168" s="28">
        <f>TEXT([@Date],"mmm")</f>
        <v/>
      </c>
      <c r="E168" s="30">
        <f>MONTH([@Date])</f>
        <v/>
      </c>
      <c r="F168" s="28" t="inlineStr">
        <is>
          <t>Crushing Circuit</t>
        </is>
      </c>
      <c r="G168" s="28" t="inlineStr">
        <is>
          <t>Processing</t>
        </is>
      </c>
      <c r="H168" s="28" t="inlineStr">
        <is>
          <t>Owner (Asanko)</t>
        </is>
      </c>
      <c r="I168" s="28" t="inlineStr">
        <is>
          <t>First Aid</t>
        </is>
      </c>
      <c r="J168" s="28" t="inlineStr">
        <is>
          <t>Caught Between / Struck By</t>
        </is>
      </c>
      <c r="K168" s="31" t="n">
        <v>1</v>
      </c>
      <c r="L168" s="28" t="inlineStr">
        <is>
          <t>Closed</t>
        </is>
      </c>
      <c r="M168" s="29" t="n">
        <v>46149</v>
      </c>
      <c r="N168" s="29" t="n"/>
      <c r="O168" s="28" t="inlineStr">
        <is>
          <t>J. Boateng</t>
        </is>
      </c>
      <c r="P168" s="30">
        <f>IF(OR([@Type]="Lost Time Injury",[@Type]="Restricted Work",[@Type]="Medical Treatment"),1,0)</f>
        <v/>
      </c>
      <c r="Q168" s="30">
        <f>IF([@Type]="Lost Time Injury",1,0)</f>
        <v/>
      </c>
      <c r="R168" s="32">
        <f>IF([@Type]="Lost Time Injury",[@Date],"")</f>
        <v/>
      </c>
      <c r="S168" s="30">
        <f>IF(AND([@Status]&lt;&gt;"Closed",[@CAR_Due]&lt;&gt;"",[@CAR_Due]&lt;TODAY()),1,0)</f>
        <v/>
      </c>
      <c r="T168" s="30">
        <f>IF(AND([@Status]&lt;&gt;"Closed",[@CAR_Due]&lt;&gt;"",[@CAR_Due]&lt;TODAY()),TODAY()-[@CAR_Due],0)</f>
        <v/>
      </c>
    </row>
    <row r="169">
      <c r="A169" s="28" t="inlineStr">
        <is>
          <t>INC-0164</t>
        </is>
      </c>
      <c r="B169" s="29" t="n">
        <v>46161</v>
      </c>
      <c r="C169" s="28">
        <f>YEAR([@Date])</f>
        <v/>
      </c>
      <c r="D169" s="28">
        <f>TEXT([@Date],"mmm")</f>
        <v/>
      </c>
      <c r="E169" s="30">
        <f>MONTH([@Date])</f>
        <v/>
      </c>
      <c r="F169" s="28" t="inlineStr">
        <is>
          <t>Security Gatehouse</t>
        </is>
      </c>
      <c r="G169" s="28" t="inlineStr">
        <is>
          <t>Security</t>
        </is>
      </c>
      <c r="H169" s="28" t="inlineStr">
        <is>
          <t>G4S (Security)</t>
        </is>
      </c>
      <c r="I169" s="28" t="inlineStr">
        <is>
          <t>First Aid</t>
        </is>
      </c>
      <c r="J169" s="28" t="inlineStr">
        <is>
          <t>Slip / Trip / Fall</t>
        </is>
      </c>
      <c r="K169" s="31" t="n">
        <v>1</v>
      </c>
      <c r="L169" s="28" t="inlineStr">
        <is>
          <t>Open</t>
        </is>
      </c>
      <c r="M169" s="29" t="n">
        <v>46163</v>
      </c>
      <c r="N169" s="29" t="n"/>
      <c r="O169" s="28" t="inlineStr">
        <is>
          <t>F. Agyeman</t>
        </is>
      </c>
      <c r="P169" s="30">
        <f>IF(OR([@Type]="Lost Time Injury",[@Type]="Restricted Work",[@Type]="Medical Treatment"),1,0)</f>
        <v/>
      </c>
      <c r="Q169" s="30">
        <f>IF([@Type]="Lost Time Injury",1,0)</f>
        <v/>
      </c>
      <c r="R169" s="32">
        <f>IF([@Type]="Lost Time Injury",[@Date],"")</f>
        <v/>
      </c>
      <c r="S169" s="30">
        <f>IF(AND([@Status]&lt;&gt;"Closed",[@CAR_Due]&lt;&gt;"",[@CAR_Due]&lt;TODAY()),1,0)</f>
        <v/>
      </c>
      <c r="T169" s="30">
        <f>IF(AND([@Status]&lt;&gt;"Closed",[@CAR_Due]&lt;&gt;"",[@CAR_Due]&lt;TODAY()),TODAY()-[@CAR_Due],0)</f>
        <v/>
      </c>
    </row>
    <row r="170">
      <c r="A170" s="28" t="inlineStr">
        <is>
          <t>INC-0165</t>
        </is>
      </c>
      <c r="B170" s="29" t="n">
        <v>46163</v>
      </c>
      <c r="C170" s="28">
        <f>YEAR([@Date])</f>
        <v/>
      </c>
      <c r="D170" s="28">
        <f>TEXT([@Date],"mmm")</f>
        <v/>
      </c>
      <c r="E170" s="30">
        <f>MONTH([@Date])</f>
        <v/>
      </c>
      <c r="F170" s="28" t="inlineStr">
        <is>
          <t>Explosives Magazine</t>
        </is>
      </c>
      <c r="G170" s="28" t="inlineStr">
        <is>
          <t>Mining</t>
        </is>
      </c>
      <c r="H170" s="28" t="inlineStr">
        <is>
          <t>Maxam (Blasting)</t>
        </is>
      </c>
      <c r="I170" s="28" t="inlineStr">
        <is>
          <t>First Aid</t>
        </is>
      </c>
      <c r="J170" s="28" t="inlineStr">
        <is>
          <t>Fire / Explosion</t>
        </is>
      </c>
      <c r="K170" s="31" t="n">
        <v>2</v>
      </c>
      <c r="L170" s="28" t="inlineStr">
        <is>
          <t>Under Investigation</t>
        </is>
      </c>
      <c r="M170" s="29" t="n">
        <v>46164</v>
      </c>
      <c r="N170" s="29" t="n"/>
      <c r="O170" s="28" t="inlineStr">
        <is>
          <t>Y. Darko</t>
        </is>
      </c>
      <c r="P170" s="30">
        <f>IF(OR([@Type]="Lost Time Injury",[@Type]="Restricted Work",[@Type]="Medical Treatment"),1,0)</f>
        <v/>
      </c>
      <c r="Q170" s="30">
        <f>IF([@Type]="Lost Time Injury",1,0)</f>
        <v/>
      </c>
      <c r="R170" s="32">
        <f>IF([@Type]="Lost Time Injury",[@Date],"")</f>
        <v/>
      </c>
      <c r="S170" s="30">
        <f>IF(AND([@Status]&lt;&gt;"Closed",[@CAR_Due]&lt;&gt;"",[@CAR_Due]&lt;TODAY()),1,0)</f>
        <v/>
      </c>
      <c r="T170" s="30">
        <f>IF(AND([@Status]&lt;&gt;"Closed",[@CAR_Due]&lt;&gt;"",[@CAR_Due]&lt;TODAY()),TODAY()-[@CAR_Due],0)</f>
        <v/>
      </c>
    </row>
    <row r="171">
      <c r="A171" s="28" t="inlineStr">
        <is>
          <t>INC-0166</t>
        </is>
      </c>
      <c r="B171" s="29" t="n">
        <v>46167</v>
      </c>
      <c r="C171" s="28">
        <f>YEAR([@Date])</f>
        <v/>
      </c>
      <c r="D171" s="28">
        <f>TEXT([@Date],"mmm")</f>
        <v/>
      </c>
      <c r="E171" s="30">
        <f>MONTH([@Date])</f>
        <v/>
      </c>
      <c r="F171" s="28" t="inlineStr">
        <is>
          <t>Water Treatment</t>
        </is>
      </c>
      <c r="G171" s="28" t="inlineStr">
        <is>
          <t>Environment</t>
        </is>
      </c>
      <c r="H171" s="28" t="inlineStr">
        <is>
          <t>Owner (Asanko)</t>
        </is>
      </c>
      <c r="I171" s="28" t="inlineStr">
        <is>
          <t>Lost Time Injury</t>
        </is>
      </c>
      <c r="J171" s="28" t="inlineStr">
        <is>
          <t>Other</t>
        </is>
      </c>
      <c r="K171" s="31" t="n">
        <v>4</v>
      </c>
      <c r="L171" s="28" t="inlineStr">
        <is>
          <t>Closed</t>
        </is>
      </c>
      <c r="M171" s="29" t="n">
        <v>46168</v>
      </c>
      <c r="N171" s="29" t="n">
        <v>46183</v>
      </c>
      <c r="O171" s="28" t="inlineStr">
        <is>
          <t>K. Mensah</t>
        </is>
      </c>
      <c r="P171" s="30">
        <f>IF(OR([@Type]="Lost Time Injury",[@Type]="Restricted Work",[@Type]="Medical Treatment"),1,0)</f>
        <v/>
      </c>
      <c r="Q171" s="30">
        <f>IF([@Type]="Lost Time Injury",1,0)</f>
        <v/>
      </c>
      <c r="R171" s="32">
        <f>IF([@Type]="Lost Time Injury",[@Date],"")</f>
        <v/>
      </c>
      <c r="S171" s="30">
        <f>IF(AND([@Status]&lt;&gt;"Closed",[@CAR_Due]&lt;&gt;"",[@CAR_Due]&lt;TODAY()),1,0)</f>
        <v/>
      </c>
      <c r="T171" s="30">
        <f>IF(AND([@Status]&lt;&gt;"Closed",[@CAR_Due]&lt;&gt;"",[@CAR_Due]&lt;TODAY()),TODAY()-[@CAR_Due],0)</f>
        <v/>
      </c>
    </row>
    <row r="172">
      <c r="A172" s="28" t="inlineStr">
        <is>
          <t>INC-0167</t>
        </is>
      </c>
      <c r="B172" s="29" t="n">
        <v>46146</v>
      </c>
      <c r="C172" s="28">
        <f>YEAR([@Date])</f>
        <v/>
      </c>
      <c r="D172" s="28">
        <f>TEXT([@Date],"mmm")</f>
        <v/>
      </c>
      <c r="E172" s="30">
        <f>MONTH([@Date])</f>
        <v/>
      </c>
      <c r="F172" s="28" t="inlineStr">
        <is>
          <t>Water Treatment</t>
        </is>
      </c>
      <c r="G172" s="28" t="inlineStr">
        <is>
          <t>Environment</t>
        </is>
      </c>
      <c r="H172" s="28" t="inlineStr">
        <is>
          <t>Owner (Asanko)</t>
        </is>
      </c>
      <c r="I172" s="28" t="inlineStr">
        <is>
          <t>First Aid</t>
        </is>
      </c>
      <c r="J172" s="28" t="inlineStr">
        <is>
          <t>Chemical / Cyanide Spill</t>
        </is>
      </c>
      <c r="K172" s="31" t="n">
        <v>2</v>
      </c>
      <c r="L172" s="28" t="inlineStr">
        <is>
          <t>Under Investigation</t>
        </is>
      </c>
      <c r="M172" s="29" t="n">
        <v>46148</v>
      </c>
      <c r="N172" s="29" t="n"/>
      <c r="O172" s="28" t="inlineStr">
        <is>
          <t>P. Annan</t>
        </is>
      </c>
      <c r="P172" s="30">
        <f>IF(OR([@Type]="Lost Time Injury",[@Type]="Restricted Work",[@Type]="Medical Treatment"),1,0)</f>
        <v/>
      </c>
      <c r="Q172" s="30">
        <f>IF([@Type]="Lost Time Injury",1,0)</f>
        <v/>
      </c>
      <c r="R172" s="32">
        <f>IF([@Type]="Lost Time Injury",[@Date],"")</f>
        <v/>
      </c>
      <c r="S172" s="30">
        <f>IF(AND([@Status]&lt;&gt;"Closed",[@CAR_Due]&lt;&gt;"",[@CAR_Due]&lt;TODAY()),1,0)</f>
        <v/>
      </c>
      <c r="T172" s="30">
        <f>IF(AND([@Status]&lt;&gt;"Closed",[@CAR_Due]&lt;&gt;"",[@CAR_Due]&lt;TODAY()),TODAY()-[@CAR_Due],0)</f>
        <v/>
      </c>
    </row>
  </sheetData>
  <mergeCells count="2">
    <mergeCell ref="A1:T2"/>
    <mergeCell ref="A3:T3"/>
  </mergeCells>
  <conditionalFormatting sqref="K6:K572">
    <cfRule type="cellIs" priority="1" operator="between" dxfId="3">
      <formula>4</formula>
      <formula>5</formula>
    </cfRule>
    <cfRule type="cellIs" priority="2" operator="equal" dxfId="4">
      <formula>3</formula>
    </cfRule>
    <cfRule type="cellIs" priority="3" operator="between" dxfId="5">
      <formula>1</formula>
      <formula>2</formula>
    </cfRule>
  </conditionalFormatting>
  <conditionalFormatting sqref="N6:N1000">
    <cfRule type="expression" priority="4" dxfId="3">
      <formula>$S6=1</formula>
    </cfRule>
  </conditionalFormatting>
  <conditionalFormatting sqref="L6:L1000">
    <cfRule type="cellIs" priority="5" operator="equal" dxfId="6">
      <formula>"Closed"</formula>
    </cfRule>
    <cfRule type="cellIs" priority="6" operator="equal" dxfId="3">
      <formula>"Open"</formula>
    </cfRule>
    <cfRule type="cellIs" priority="7" operator="equal" dxfId="4">
      <formula>"Under Investigation"</formula>
    </cfRule>
    <cfRule type="cellIs" priority="8" operator="equal" dxfId="4">
      <formula>"Action Pending"</formula>
    </cfRule>
  </conditionalFormatting>
  <dataValidations count="7">
    <dataValidation sqref="F6:F1000" showDropDown="0" showInputMessage="0" showErrorMessage="0" allowBlank="1" type="list">
      <formula1>Lists!$D$8:$D$25</formula1>
    </dataValidation>
    <dataValidation sqref="G6:G1000" showDropDown="0" showInputMessage="0" showErrorMessage="0" allowBlank="1" type="list">
      <formula1>Lists!$E$8:$E$15</formula1>
    </dataValidation>
    <dataValidation sqref="H6:H1000" showDropDown="0" showInputMessage="0" showErrorMessage="0" allowBlank="1" type="list">
      <formula1>Lists!$J$8:$J$14</formula1>
    </dataValidation>
    <dataValidation sqref="I6:I1000" showDropDown="0" showInputMessage="0" showErrorMessage="0" allowBlank="1" type="list">
      <formula1>Lists!$A$8:$A$14</formula1>
    </dataValidation>
    <dataValidation sqref="J6:J1000" showDropDown="0" showInputMessage="0" showErrorMessage="0" allowBlank="1" type="list">
      <formula1>Lists!$B$8:$B$19</formula1>
    </dataValidation>
    <dataValidation sqref="K6:K1000" showDropDown="0" showInputMessage="0" showErrorMessage="0" allowBlank="1" type="list">
      <formula1>Lists!$F$8:$F$12</formula1>
    </dataValidation>
    <dataValidation sqref="L6:L1000" showDropDown="0" showInputMessage="0" showErrorMessage="0" allowBlank="1" type="list">
      <formula1>Lists!$C$8:$C$11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3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7" customWidth="1" min="4" max="4"/>
    <col width="22" customWidth="1" min="5" max="5"/>
    <col width="14" customWidth="1" min="6" max="6"/>
    <col width="22" customWidth="1" min="7" max="7"/>
    <col width="11" customWidth="1" min="8" max="8"/>
    <col width="10" customWidth="1" min="9" max="9"/>
    <col width="9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8" customWidth="1" min="16" max="16"/>
    <col width="9" customWidth="1" min="17" max="17"/>
    <col width="12" customWidth="1" min="18" max="18"/>
    <col width="13" customWidth="1" min="19" max="19"/>
    <col width="7" customWidth="1" min="20" max="20"/>
    <col width="12" customWidth="1" min="21" max="21"/>
  </cols>
  <sheetData>
    <row r="1" ht="16" customHeight="1">
      <c r="A1" s="1" t="inlineStr">
        <is>
          <t>ASANKO GOLD MINE   |   Activity Log  (DATA SPINE -- per area, per month)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1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 ht="18" customHeight="1">
      <c r="A3" s="3" t="inlineStr">
        <is>
          <t>Man-hours, leading indicators &amp; training. Year/Month auto-calculate from Period.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</row>
    <row r="5" ht="28" customHeight="1">
      <c r="A5" s="27" t="inlineStr">
        <is>
          <t>Period</t>
        </is>
      </c>
      <c r="B5" s="27" t="inlineStr">
        <is>
          <t>Year</t>
        </is>
      </c>
      <c r="C5" s="27" t="inlineStr">
        <is>
          <t>MonthName</t>
        </is>
      </c>
      <c r="D5" s="27" t="inlineStr">
        <is>
          <t>Month</t>
        </is>
      </c>
      <c r="E5" s="27" t="inlineStr">
        <is>
          <t>Area</t>
        </is>
      </c>
      <c r="F5" s="27" t="inlineStr">
        <is>
          <t>Department</t>
        </is>
      </c>
      <c r="G5" s="27" t="inlineStr">
        <is>
          <t>Company</t>
        </is>
      </c>
      <c r="H5" s="27" t="inlineStr">
        <is>
          <t>ManHours</t>
        </is>
      </c>
      <c r="I5" s="27" t="inlineStr">
        <is>
          <t>NearMisses</t>
        </is>
      </c>
      <c r="J5" s="27" t="inlineStr">
        <is>
          <t>Hazards</t>
        </is>
      </c>
      <c r="K5" s="27" t="inlineStr">
        <is>
          <t>ObsRaised</t>
        </is>
      </c>
      <c r="L5" s="27" t="inlineStr">
        <is>
          <t>ObsClosed</t>
        </is>
      </c>
      <c r="M5" s="27" t="inlineStr">
        <is>
          <t>InspPlanned</t>
        </is>
      </c>
      <c r="N5" s="27" t="inlineStr">
        <is>
          <t>InspDone</t>
        </is>
      </c>
      <c r="O5" s="27" t="inlineStr">
        <is>
          <t>InspScore</t>
        </is>
      </c>
      <c r="P5" s="27" t="inlineStr">
        <is>
          <t>Audits</t>
        </is>
      </c>
      <c r="Q5" s="27" t="inlineStr">
        <is>
          <t>Toolbox</t>
        </is>
      </c>
      <c r="R5" s="27" t="inlineStr">
        <is>
          <t>TrainAssigned</t>
        </is>
      </c>
      <c r="S5" s="27" t="inlineStr">
        <is>
          <t>TrainCompleted</t>
        </is>
      </c>
      <c r="T5" s="27" t="inlineStr">
        <is>
          <t>PPE</t>
        </is>
      </c>
      <c r="U5" s="27" t="inlineStr">
        <is>
          <t>InspCompletion</t>
        </is>
      </c>
      <c r="V5" s="27" t="inlineStr">
        <is>
          <t>ObsCloseRate</t>
        </is>
      </c>
    </row>
    <row r="6">
      <c r="A6" s="33" t="n">
        <v>45444</v>
      </c>
      <c r="B6" s="28">
        <f>YEAR([@Period])</f>
        <v/>
      </c>
      <c r="C6" s="28">
        <f>TEXT([@Period],"mmm")</f>
        <v/>
      </c>
      <c r="D6" s="30">
        <f>MONTH([@Period])</f>
        <v/>
      </c>
      <c r="E6" s="28" t="inlineStr">
        <is>
          <t>Nkran Open Pit</t>
        </is>
      </c>
      <c r="F6" s="28" t="inlineStr">
        <is>
          <t>Mining</t>
        </is>
      </c>
      <c r="G6" s="28" t="inlineStr">
        <is>
          <t>AUMS (Mining Contractor)</t>
        </is>
      </c>
      <c r="H6" s="34" t="n">
        <v>22560</v>
      </c>
      <c r="I6" s="35" t="n">
        <v>6</v>
      </c>
      <c r="J6" s="35" t="n">
        <v>5</v>
      </c>
      <c r="K6" s="35" t="n">
        <v>14</v>
      </c>
      <c r="L6" s="35" t="n">
        <v>11</v>
      </c>
      <c r="M6" s="35" t="n">
        <v>6</v>
      </c>
      <c r="N6" s="35" t="n">
        <v>6</v>
      </c>
      <c r="O6" s="36" t="n">
        <v>0.888</v>
      </c>
      <c r="P6" s="35" t="n">
        <v>0</v>
      </c>
      <c r="Q6" s="35" t="n">
        <v>5</v>
      </c>
      <c r="R6" s="35" t="n">
        <v>20</v>
      </c>
      <c r="S6" s="35" t="n">
        <v>19</v>
      </c>
      <c r="T6" s="37" t="n">
        <v>0.973</v>
      </c>
      <c r="U6" s="38">
        <f>IFERROR([@InspDone]/[@InspPlanned],0)</f>
        <v/>
      </c>
      <c r="V6" s="38">
        <f>IFERROR([@ObsClosed]/[@ObsRaised],0)</f>
        <v/>
      </c>
    </row>
    <row r="7">
      <c r="A7" s="33" t="n">
        <v>45444</v>
      </c>
      <c r="B7" s="28">
        <f>YEAR([@Period])</f>
        <v/>
      </c>
      <c r="C7" s="28">
        <f>TEXT([@Period],"mmm")</f>
        <v/>
      </c>
      <c r="D7" s="30">
        <f>MONTH([@Period])</f>
        <v/>
      </c>
      <c r="E7" s="28" t="inlineStr">
        <is>
          <t>Esaase Open Pit</t>
        </is>
      </c>
      <c r="F7" s="28" t="inlineStr">
        <is>
          <t>Mining</t>
        </is>
      </c>
      <c r="G7" s="28" t="inlineStr">
        <is>
          <t>AUMS (Mining Contractor)</t>
        </is>
      </c>
      <c r="H7" s="34" t="n">
        <v>20240</v>
      </c>
      <c r="I7" s="35" t="n">
        <v>6</v>
      </c>
      <c r="J7" s="35" t="n">
        <v>3</v>
      </c>
      <c r="K7" s="35" t="n">
        <v>9</v>
      </c>
      <c r="L7" s="35" t="n">
        <v>7</v>
      </c>
      <c r="M7" s="35" t="n">
        <v>6</v>
      </c>
      <c r="N7" s="35" t="n">
        <v>5</v>
      </c>
      <c r="O7" s="36" t="n">
        <v>0.9</v>
      </c>
      <c r="P7" s="35" t="n">
        <v>0</v>
      </c>
      <c r="Q7" s="35" t="n">
        <v>15</v>
      </c>
      <c r="R7" s="35" t="n">
        <v>18</v>
      </c>
      <c r="S7" s="35" t="n">
        <v>18</v>
      </c>
      <c r="T7" s="37" t="n">
        <v>0.896</v>
      </c>
      <c r="U7" s="38">
        <f>IFERROR([@InspDone]/[@InspPlanned],0)</f>
        <v/>
      </c>
      <c r="V7" s="38">
        <f>IFERROR([@ObsClosed]/[@ObsRaised],0)</f>
        <v/>
      </c>
    </row>
    <row r="8">
      <c r="A8" s="33" t="n">
        <v>45444</v>
      </c>
      <c r="B8" s="28">
        <f>YEAR([@Period])</f>
        <v/>
      </c>
      <c r="C8" s="28">
        <f>TEXT([@Period],"mmm")</f>
        <v/>
      </c>
      <c r="D8" s="30">
        <f>MONTH([@Period])</f>
        <v/>
      </c>
      <c r="E8" s="28" t="inlineStr">
        <is>
          <t>Drill &amp; Blast</t>
        </is>
      </c>
      <c r="F8" s="28" t="inlineStr">
        <is>
          <t>Mining</t>
        </is>
      </c>
      <c r="G8" s="28" t="inlineStr">
        <is>
          <t>Maxam (Blasting)</t>
        </is>
      </c>
      <c r="H8" s="34" t="n">
        <v>9160</v>
      </c>
      <c r="I8" s="35" t="n">
        <v>2</v>
      </c>
      <c r="J8" s="35" t="n">
        <v>2</v>
      </c>
      <c r="K8" s="35" t="n">
        <v>3</v>
      </c>
      <c r="L8" s="35" t="n">
        <v>3</v>
      </c>
      <c r="M8" s="35" t="n">
        <v>2</v>
      </c>
      <c r="N8" s="35" t="n">
        <v>2</v>
      </c>
      <c r="O8" s="36" t="n">
        <v>0.975</v>
      </c>
      <c r="P8" s="35" t="n">
        <v>1</v>
      </c>
      <c r="Q8" s="35" t="n">
        <v>2</v>
      </c>
      <c r="R8" s="35" t="n">
        <v>6</v>
      </c>
      <c r="S8" s="35" t="n">
        <v>6</v>
      </c>
      <c r="T8" s="37" t="n">
        <v>0.9379999999999999</v>
      </c>
      <c r="U8" s="38">
        <f>IFERROR([@InspDone]/[@InspPlanned],0)</f>
        <v/>
      </c>
      <c r="V8" s="38">
        <f>IFERROR([@ObsClosed]/[@ObsRaised],0)</f>
        <v/>
      </c>
    </row>
    <row r="9">
      <c r="A9" s="33" t="n">
        <v>45444</v>
      </c>
      <c r="B9" s="28">
        <f>YEAR([@Period])</f>
        <v/>
      </c>
      <c r="C9" s="28">
        <f>TEXT([@Period],"mmm")</f>
        <v/>
      </c>
      <c r="D9" s="30">
        <f>MONTH([@Period])</f>
        <v/>
      </c>
      <c r="E9" s="28" t="inlineStr">
        <is>
          <t>Haul Roads</t>
        </is>
      </c>
      <c r="F9" s="28" t="inlineStr">
        <is>
          <t>Mining</t>
        </is>
      </c>
      <c r="G9" s="28" t="inlineStr">
        <is>
          <t>AUMS (Mining Contractor)</t>
        </is>
      </c>
      <c r="H9" s="34" t="n">
        <v>12600</v>
      </c>
      <c r="I9" s="35" t="n">
        <v>4</v>
      </c>
      <c r="J9" s="35" t="n">
        <v>2</v>
      </c>
      <c r="K9" s="35" t="n">
        <v>3</v>
      </c>
      <c r="L9" s="35" t="n">
        <v>2</v>
      </c>
      <c r="M9" s="35" t="n">
        <v>3</v>
      </c>
      <c r="N9" s="35" t="n">
        <v>3</v>
      </c>
      <c r="O9" s="36" t="n">
        <v>0.954</v>
      </c>
      <c r="P9" s="35" t="n">
        <v>0</v>
      </c>
      <c r="Q9" s="35" t="n">
        <v>5</v>
      </c>
      <c r="R9" s="35" t="n">
        <v>10</v>
      </c>
      <c r="S9" s="35" t="n">
        <v>9</v>
      </c>
      <c r="T9" s="37" t="n">
        <v>0.95</v>
      </c>
      <c r="U9" s="38">
        <f>IFERROR([@InspDone]/[@InspPlanned],0)</f>
        <v/>
      </c>
      <c r="V9" s="38">
        <f>IFERROR([@ObsClosed]/[@ObsRaised],0)</f>
        <v/>
      </c>
    </row>
    <row r="10">
      <c r="A10" s="33" t="n">
        <v>45444</v>
      </c>
      <c r="B10" s="28">
        <f>YEAR([@Period])</f>
        <v/>
      </c>
      <c r="C10" s="28">
        <f>TEXT([@Period],"mmm")</f>
        <v/>
      </c>
      <c r="D10" s="30">
        <f>MONTH([@Period])</f>
        <v/>
      </c>
      <c r="E10" s="28" t="inlineStr">
        <is>
          <t>Explosives Magazine</t>
        </is>
      </c>
      <c r="F10" s="28" t="inlineStr">
        <is>
          <t>Mining</t>
        </is>
      </c>
      <c r="G10" s="28" t="inlineStr">
        <is>
          <t>Maxam (Blasting)</t>
        </is>
      </c>
      <c r="H10" s="34" t="n">
        <v>3045</v>
      </c>
      <c r="I10" s="35" t="n">
        <v>1</v>
      </c>
      <c r="J10" s="35" t="n">
        <v>0</v>
      </c>
      <c r="K10" s="35" t="n">
        <v>1</v>
      </c>
      <c r="L10" s="35" t="n">
        <v>1</v>
      </c>
      <c r="M10" s="35" t="n">
        <v>2</v>
      </c>
      <c r="N10" s="35" t="n">
        <v>2</v>
      </c>
      <c r="O10" s="36" t="n">
        <v>0.979</v>
      </c>
      <c r="P10" s="35" t="n">
        <v>0</v>
      </c>
      <c r="Q10" s="35" t="n">
        <v>1</v>
      </c>
      <c r="R10" s="35" t="n">
        <v>3</v>
      </c>
      <c r="S10" s="35" t="n">
        <v>3</v>
      </c>
      <c r="T10" s="37" t="n">
        <v>0.923</v>
      </c>
      <c r="U10" s="38">
        <f>IFERROR([@InspDone]/[@InspPlanned],0)</f>
        <v/>
      </c>
      <c r="V10" s="38">
        <f>IFERROR([@ObsClosed]/[@ObsRaised],0)</f>
        <v/>
      </c>
    </row>
    <row r="11">
      <c r="A11" s="33" t="n">
        <v>45444</v>
      </c>
      <c r="B11" s="28">
        <f>YEAR([@Period])</f>
        <v/>
      </c>
      <c r="C11" s="28">
        <f>TEXT([@Period],"mmm")</f>
        <v/>
      </c>
      <c r="D11" s="30">
        <f>MONTH([@Period])</f>
        <v/>
      </c>
      <c r="E11" s="28" t="inlineStr">
        <is>
          <t>Crushing Circuit</t>
        </is>
      </c>
      <c r="F11" s="28" t="inlineStr">
        <is>
          <t>Processing</t>
        </is>
      </c>
      <c r="G11" s="28" t="inlineStr">
        <is>
          <t>Owner (Asanko)</t>
        </is>
      </c>
      <c r="H11" s="34" t="n">
        <v>6895</v>
      </c>
      <c r="I11" s="35" t="n">
        <v>1</v>
      </c>
      <c r="J11" s="35" t="n">
        <v>2</v>
      </c>
      <c r="K11" s="35" t="n">
        <v>1</v>
      </c>
      <c r="L11" s="35" t="n">
        <v>1</v>
      </c>
      <c r="M11" s="35" t="n">
        <v>2</v>
      </c>
      <c r="N11" s="35" t="n">
        <v>2</v>
      </c>
      <c r="O11" s="36" t="n">
        <v>0.978</v>
      </c>
      <c r="P11" s="35" t="n">
        <v>0</v>
      </c>
      <c r="Q11" s="35" t="n">
        <v>4</v>
      </c>
      <c r="R11" s="35" t="n">
        <v>5</v>
      </c>
      <c r="S11" s="35" t="n">
        <v>5</v>
      </c>
      <c r="T11" s="37" t="n">
        <v>0.919</v>
      </c>
      <c r="U11" s="38">
        <f>IFERROR([@InspDone]/[@InspPlanned],0)</f>
        <v/>
      </c>
      <c r="V11" s="38">
        <f>IFERROR([@ObsClosed]/[@ObsRaised],0)</f>
        <v/>
      </c>
    </row>
    <row r="12">
      <c r="A12" s="33" t="n">
        <v>45444</v>
      </c>
      <c r="B12" s="28">
        <f>YEAR([@Period])</f>
        <v/>
      </c>
      <c r="C12" s="28">
        <f>TEXT([@Period],"mmm")</f>
        <v/>
      </c>
      <c r="D12" s="30">
        <f>MONTH([@Period])</f>
        <v/>
      </c>
      <c r="E12" s="28" t="inlineStr">
        <is>
          <t>Processing Plant (CIL)</t>
        </is>
      </c>
      <c r="F12" s="28" t="inlineStr">
        <is>
          <t>Processing</t>
        </is>
      </c>
      <c r="G12" s="28" t="inlineStr">
        <is>
          <t>Owner (Asanko)</t>
        </is>
      </c>
      <c r="H12" s="34" t="n">
        <v>18270</v>
      </c>
      <c r="I12" s="35" t="n">
        <v>7</v>
      </c>
      <c r="J12" s="35" t="n">
        <v>2</v>
      </c>
      <c r="K12" s="35" t="n">
        <v>6</v>
      </c>
      <c r="L12" s="35" t="n">
        <v>5</v>
      </c>
      <c r="M12" s="35" t="n">
        <v>5</v>
      </c>
      <c r="N12" s="35" t="n">
        <v>5</v>
      </c>
      <c r="O12" s="36" t="n">
        <v>0.987</v>
      </c>
      <c r="P12" s="35" t="n">
        <v>1</v>
      </c>
      <c r="Q12" s="35" t="n">
        <v>11</v>
      </c>
      <c r="R12" s="35" t="n">
        <v>15</v>
      </c>
      <c r="S12" s="35" t="n">
        <v>14</v>
      </c>
      <c r="T12" s="37" t="n">
        <v>0.967</v>
      </c>
      <c r="U12" s="38">
        <f>IFERROR([@InspDone]/[@InspPlanned],0)</f>
        <v/>
      </c>
      <c r="V12" s="38">
        <f>IFERROR([@ObsClosed]/[@ObsRaised],0)</f>
        <v/>
      </c>
    </row>
    <row r="13">
      <c r="A13" s="33" t="n">
        <v>45444</v>
      </c>
      <c r="B13" s="28">
        <f>YEAR([@Period])</f>
        <v/>
      </c>
      <c r="C13" s="28">
        <f>TEXT([@Period],"mmm")</f>
        <v/>
      </c>
      <c r="D13" s="30">
        <f>MONTH([@Period])</f>
        <v/>
      </c>
      <c r="E13" s="28" t="inlineStr">
        <is>
          <t>Elution &amp; Gold Room</t>
        </is>
      </c>
      <c r="F13" s="28" t="inlineStr">
        <is>
          <t>Processing</t>
        </is>
      </c>
      <c r="G13" s="28" t="inlineStr">
        <is>
          <t>Owner (Asanko)</t>
        </is>
      </c>
      <c r="H13" s="34" t="n">
        <v>4560</v>
      </c>
      <c r="I13" s="35" t="n">
        <v>0</v>
      </c>
      <c r="J13" s="35" t="n">
        <v>2</v>
      </c>
      <c r="K13" s="35" t="n">
        <v>4</v>
      </c>
      <c r="L13" s="35" t="n">
        <v>4</v>
      </c>
      <c r="M13" s="35" t="n">
        <v>2</v>
      </c>
      <c r="N13" s="35" t="n">
        <v>2</v>
      </c>
      <c r="O13" s="36" t="n">
        <v>0.986</v>
      </c>
      <c r="P13" s="35" t="n">
        <v>0</v>
      </c>
      <c r="Q13" s="35" t="n">
        <v>1</v>
      </c>
      <c r="R13" s="35" t="n">
        <v>3</v>
      </c>
      <c r="S13" s="35" t="n">
        <v>3</v>
      </c>
      <c r="T13" s="37" t="n">
        <v>0.962</v>
      </c>
      <c r="U13" s="38">
        <f>IFERROR([@InspDone]/[@InspPlanned],0)</f>
        <v/>
      </c>
      <c r="V13" s="38">
        <f>IFERROR([@ObsClosed]/[@ObsRaised],0)</f>
        <v/>
      </c>
    </row>
    <row r="14">
      <c r="A14" s="33" t="n">
        <v>45444</v>
      </c>
      <c r="B14" s="28">
        <f>YEAR([@Period])</f>
        <v/>
      </c>
      <c r="C14" s="28">
        <f>TEXT([@Period],"mmm")</f>
        <v/>
      </c>
      <c r="D14" s="30">
        <f>MONTH([@Period])</f>
        <v/>
      </c>
      <c r="E14" s="28" t="inlineStr">
        <is>
          <t>Tailings Storage Facility</t>
        </is>
      </c>
      <c r="F14" s="28" t="inlineStr">
        <is>
          <t>Environment</t>
        </is>
      </c>
      <c r="G14" s="28" t="inlineStr">
        <is>
          <t>Owner (Asanko)</t>
        </is>
      </c>
      <c r="H14" s="34" t="n">
        <v>4050</v>
      </c>
      <c r="I14" s="35" t="n">
        <v>0</v>
      </c>
      <c r="J14" s="35" t="n">
        <v>2</v>
      </c>
      <c r="K14" s="35" t="n">
        <v>1</v>
      </c>
      <c r="L14" s="35" t="n">
        <v>1</v>
      </c>
      <c r="M14" s="35" t="n">
        <v>2</v>
      </c>
      <c r="N14" s="35" t="n">
        <v>2</v>
      </c>
      <c r="O14" s="36" t="n">
        <v>0.981</v>
      </c>
      <c r="P14" s="35" t="n">
        <v>1</v>
      </c>
      <c r="Q14" s="35" t="n">
        <v>2</v>
      </c>
      <c r="R14" s="35" t="n">
        <v>3</v>
      </c>
      <c r="S14" s="35" t="n">
        <v>3</v>
      </c>
      <c r="T14" s="37" t="n">
        <v>0.973</v>
      </c>
      <c r="U14" s="38">
        <f>IFERROR([@InspDone]/[@InspPlanned],0)</f>
        <v/>
      </c>
      <c r="V14" s="38">
        <f>IFERROR([@ObsClosed]/[@ObsRaised],0)</f>
        <v/>
      </c>
    </row>
    <row r="15">
      <c r="A15" s="33" t="n">
        <v>45444</v>
      </c>
      <c r="B15" s="28">
        <f>YEAR([@Period])</f>
        <v/>
      </c>
      <c r="C15" s="28">
        <f>TEXT([@Period],"mmm")</f>
        <v/>
      </c>
      <c r="D15" s="30">
        <f>MONTH([@Period])</f>
        <v/>
      </c>
      <c r="E15" s="28" t="inlineStr">
        <is>
          <t>Water Treatment</t>
        </is>
      </c>
      <c r="F15" s="28" t="inlineStr">
        <is>
          <t>Environment</t>
        </is>
      </c>
      <c r="G15" s="28" t="inlineStr">
        <is>
          <t>Owner (Asanko)</t>
        </is>
      </c>
      <c r="H15" s="34" t="n">
        <v>2244</v>
      </c>
      <c r="I15" s="35" t="n">
        <v>4</v>
      </c>
      <c r="J15" s="35" t="n">
        <v>2</v>
      </c>
      <c r="K15" s="35" t="n">
        <v>0</v>
      </c>
      <c r="L15" s="35" t="n">
        <v>0</v>
      </c>
      <c r="M15" s="35" t="n">
        <v>2</v>
      </c>
      <c r="N15" s="35" t="n">
        <v>2</v>
      </c>
      <c r="O15" s="36" t="n">
        <v>0.945</v>
      </c>
      <c r="P15" s="35" t="n">
        <v>0</v>
      </c>
      <c r="Q15" s="35" t="n">
        <v>3</v>
      </c>
      <c r="R15" s="35" t="n">
        <v>3</v>
      </c>
      <c r="S15" s="35" t="n">
        <v>3</v>
      </c>
      <c r="T15" s="37" t="n">
        <v>0.894</v>
      </c>
      <c r="U15" s="38">
        <f>IFERROR([@InspDone]/[@InspPlanned],0)</f>
        <v/>
      </c>
      <c r="V15" s="38">
        <f>IFERROR([@ObsClosed]/[@ObsRaised],0)</f>
        <v/>
      </c>
    </row>
    <row r="16">
      <c r="A16" s="33" t="n">
        <v>45444</v>
      </c>
      <c r="B16" s="28">
        <f>YEAR([@Period])</f>
        <v/>
      </c>
      <c r="C16" s="28">
        <f>TEXT([@Period],"mmm")</f>
        <v/>
      </c>
      <c r="D16" s="30">
        <f>MONTH([@Period])</f>
        <v/>
      </c>
      <c r="E16" s="28" t="inlineStr">
        <is>
          <t>Assay Laboratory</t>
        </is>
      </c>
      <c r="F16" s="28" t="inlineStr">
        <is>
          <t>Laboratory</t>
        </is>
      </c>
      <c r="G16" s="28" t="inlineStr">
        <is>
          <t>SGS (Laboratory)</t>
        </is>
      </c>
      <c r="H16" s="34" t="n">
        <v>5600</v>
      </c>
      <c r="I16" s="35" t="n">
        <v>1</v>
      </c>
      <c r="J16" s="35" t="n">
        <v>0</v>
      </c>
      <c r="K16" s="35" t="n">
        <v>1</v>
      </c>
      <c r="L16" s="35" t="n">
        <v>1</v>
      </c>
      <c r="M16" s="35" t="n">
        <v>2</v>
      </c>
      <c r="N16" s="35" t="n">
        <v>2</v>
      </c>
      <c r="O16" s="36" t="n">
        <v>0.959</v>
      </c>
      <c r="P16" s="35" t="n">
        <v>1</v>
      </c>
      <c r="Q16" s="35" t="n">
        <v>2</v>
      </c>
      <c r="R16" s="35" t="n">
        <v>4</v>
      </c>
      <c r="S16" s="35" t="n">
        <v>4</v>
      </c>
      <c r="T16" s="37" t="n">
        <v>0.885</v>
      </c>
      <c r="U16" s="38">
        <f>IFERROR([@InspDone]/[@InspPlanned],0)</f>
        <v/>
      </c>
      <c r="V16" s="38">
        <f>IFERROR([@ObsClosed]/[@ObsRaised],0)</f>
        <v/>
      </c>
    </row>
    <row r="17">
      <c r="A17" s="33" t="n">
        <v>45444</v>
      </c>
      <c r="B17" s="28">
        <f>YEAR([@Period])</f>
        <v/>
      </c>
      <c r="C17" s="28">
        <f>TEXT([@Period],"mmm")</f>
        <v/>
      </c>
      <c r="D17" s="30">
        <f>MONTH([@Period])</f>
        <v/>
      </c>
      <c r="E17" s="28" t="inlineStr">
        <is>
          <t>HME Workshop</t>
        </is>
      </c>
      <c r="F17" s="28" t="inlineStr">
        <is>
          <t>Engineering</t>
        </is>
      </c>
      <c r="G17" s="28" t="inlineStr">
        <is>
          <t>Owner (Asanko)</t>
        </is>
      </c>
      <c r="H17" s="34" t="n">
        <v>11495</v>
      </c>
      <c r="I17" s="35" t="n">
        <v>2</v>
      </c>
      <c r="J17" s="35" t="n">
        <v>1</v>
      </c>
      <c r="K17" s="35" t="n">
        <v>5</v>
      </c>
      <c r="L17" s="35" t="n">
        <v>4</v>
      </c>
      <c r="M17" s="35" t="n">
        <v>3</v>
      </c>
      <c r="N17" s="35" t="n">
        <v>3</v>
      </c>
      <c r="O17" s="36" t="n">
        <v>0.953</v>
      </c>
      <c r="P17" s="35" t="n">
        <v>0</v>
      </c>
      <c r="Q17" s="35" t="n">
        <v>3</v>
      </c>
      <c r="R17" s="35" t="n">
        <v>9</v>
      </c>
      <c r="S17" s="35" t="n">
        <v>9</v>
      </c>
      <c r="T17" s="37" t="n">
        <v>0.995</v>
      </c>
      <c r="U17" s="38">
        <f>IFERROR([@InspDone]/[@InspPlanned],0)</f>
        <v/>
      </c>
      <c r="V17" s="38">
        <f>IFERROR([@ObsClosed]/[@ObsRaised],0)</f>
        <v/>
      </c>
    </row>
    <row r="18">
      <c r="A18" s="33" t="n">
        <v>45444</v>
      </c>
      <c r="B18" s="28">
        <f>YEAR([@Period])</f>
        <v/>
      </c>
      <c r="C18" s="28">
        <f>TEXT([@Period],"mmm")</f>
        <v/>
      </c>
      <c r="D18" s="30">
        <f>MONTH([@Period])</f>
        <v/>
      </c>
      <c r="E18" s="28" t="inlineStr">
        <is>
          <t>Fuel Farm</t>
        </is>
      </c>
      <c r="F18" s="28" t="inlineStr">
        <is>
          <t>Engineering</t>
        </is>
      </c>
      <c r="G18" s="28" t="inlineStr">
        <is>
          <t>Owner (Asanko)</t>
        </is>
      </c>
      <c r="H18" s="34" t="n">
        <v>2130</v>
      </c>
      <c r="I18" s="35" t="n">
        <v>1</v>
      </c>
      <c r="J18" s="35" t="n">
        <v>1</v>
      </c>
      <c r="K18" s="35" t="n">
        <v>2</v>
      </c>
      <c r="L18" s="35" t="n">
        <v>2</v>
      </c>
      <c r="M18" s="35" t="n">
        <v>2</v>
      </c>
      <c r="N18" s="35" t="n">
        <v>2</v>
      </c>
      <c r="O18" s="36" t="n">
        <v>0.898</v>
      </c>
      <c r="P18" s="35" t="n">
        <v>0</v>
      </c>
      <c r="Q18" s="35" t="n">
        <v>3</v>
      </c>
      <c r="R18" s="35" t="n">
        <v>3</v>
      </c>
      <c r="S18" s="35" t="n">
        <v>3</v>
      </c>
      <c r="T18" s="37" t="n">
        <v>0.888</v>
      </c>
      <c r="U18" s="38">
        <f>IFERROR([@InspDone]/[@InspPlanned],0)</f>
        <v/>
      </c>
      <c r="V18" s="38">
        <f>IFERROR([@ObsClosed]/[@ObsRaised],0)</f>
        <v/>
      </c>
    </row>
    <row r="19">
      <c r="A19" s="33" t="n">
        <v>45444</v>
      </c>
      <c r="B19" s="28">
        <f>YEAR([@Period])</f>
        <v/>
      </c>
      <c r="C19" s="28">
        <f>TEXT([@Period],"mmm")</f>
        <v/>
      </c>
      <c r="D19" s="30">
        <f>MONTH([@Period])</f>
        <v/>
      </c>
      <c r="E19" s="28" t="inlineStr">
        <is>
          <t>Power Station</t>
        </is>
      </c>
      <c r="F19" s="28" t="inlineStr">
        <is>
          <t>Engineering</t>
        </is>
      </c>
      <c r="G19" s="28" t="inlineStr">
        <is>
          <t>Genser (Power)</t>
        </is>
      </c>
      <c r="H19" s="34" t="n">
        <v>4136</v>
      </c>
      <c r="I19" s="35" t="n">
        <v>0</v>
      </c>
      <c r="J19" s="35" t="n">
        <v>0</v>
      </c>
      <c r="K19" s="35" t="n">
        <v>2</v>
      </c>
      <c r="L19" s="35" t="n">
        <v>2</v>
      </c>
      <c r="M19" s="35" t="n">
        <v>2</v>
      </c>
      <c r="N19" s="35" t="n">
        <v>2</v>
      </c>
      <c r="O19" s="36" t="n">
        <v>0.975</v>
      </c>
      <c r="P19" s="35" t="n">
        <v>1</v>
      </c>
      <c r="Q19" s="35" t="n">
        <v>3</v>
      </c>
      <c r="R19" s="35" t="n">
        <v>3</v>
      </c>
      <c r="S19" s="35" t="n">
        <v>3</v>
      </c>
      <c r="T19" s="37" t="n">
        <v>0.945</v>
      </c>
      <c r="U19" s="38">
        <f>IFERROR([@InspDone]/[@InspPlanned],0)</f>
        <v/>
      </c>
      <c r="V19" s="38">
        <f>IFERROR([@ObsClosed]/[@ObsRaised],0)</f>
        <v/>
      </c>
    </row>
    <row r="20">
      <c r="A20" s="33" t="n">
        <v>45444</v>
      </c>
      <c r="B20" s="28">
        <f>YEAR([@Period])</f>
        <v/>
      </c>
      <c r="C20" s="28">
        <f>TEXT([@Period],"mmm")</f>
        <v/>
      </c>
      <c r="D20" s="30">
        <f>MONTH([@Period])</f>
        <v/>
      </c>
      <c r="E20" s="28" t="inlineStr">
        <is>
          <t>Warehouse &amp; Stores</t>
        </is>
      </c>
      <c r="F20" s="28" t="inlineStr">
        <is>
          <t>Logistics</t>
        </is>
      </c>
      <c r="G20" s="28" t="inlineStr">
        <is>
          <t>Owner (Asanko)</t>
        </is>
      </c>
      <c r="H20" s="34" t="n">
        <v>4776</v>
      </c>
      <c r="I20" s="35" t="n">
        <v>3</v>
      </c>
      <c r="J20" s="35" t="n">
        <v>1</v>
      </c>
      <c r="K20" s="35" t="n">
        <v>2</v>
      </c>
      <c r="L20" s="35" t="n">
        <v>2</v>
      </c>
      <c r="M20" s="35" t="n">
        <v>2</v>
      </c>
      <c r="N20" s="35" t="n">
        <v>2</v>
      </c>
      <c r="O20" s="36" t="n">
        <v>0.931</v>
      </c>
      <c r="P20" s="35" t="n">
        <v>1</v>
      </c>
      <c r="Q20" s="35" t="n">
        <v>2</v>
      </c>
      <c r="R20" s="35" t="n">
        <v>4</v>
      </c>
      <c r="S20" s="35" t="n">
        <v>4</v>
      </c>
      <c r="T20" s="37" t="n">
        <v>0.905</v>
      </c>
      <c r="U20" s="38">
        <f>IFERROR([@InspDone]/[@InspPlanned],0)</f>
        <v/>
      </c>
      <c r="V20" s="38">
        <f>IFERROR([@ObsClosed]/[@ObsRaised],0)</f>
        <v/>
      </c>
    </row>
    <row r="21">
      <c r="A21" s="33" t="n">
        <v>45444</v>
      </c>
      <c r="B21" s="28">
        <f>YEAR([@Period])</f>
        <v/>
      </c>
      <c r="C21" s="28">
        <f>TEXT([@Period],"mmm")</f>
        <v/>
      </c>
      <c r="D21" s="30">
        <f>MONTH([@Period])</f>
        <v/>
      </c>
      <c r="E21" s="28" t="inlineStr">
        <is>
          <t>Administration</t>
        </is>
      </c>
      <c r="F21" s="28" t="inlineStr">
        <is>
          <t>Administration</t>
        </is>
      </c>
      <c r="G21" s="28" t="inlineStr">
        <is>
          <t>Owner (Asanko)</t>
        </is>
      </c>
      <c r="H21" s="34" t="n">
        <v>11640</v>
      </c>
      <c r="I21" s="35" t="n">
        <v>4</v>
      </c>
      <c r="J21" s="35" t="n">
        <v>0</v>
      </c>
      <c r="K21" s="35" t="n">
        <v>2</v>
      </c>
      <c r="L21" s="35" t="n">
        <v>2</v>
      </c>
      <c r="M21" s="35" t="n">
        <v>3</v>
      </c>
      <c r="N21" s="35" t="n">
        <v>3</v>
      </c>
      <c r="O21" s="36" t="n">
        <v>0.9419999999999999</v>
      </c>
      <c r="P21" s="35" t="n">
        <v>1</v>
      </c>
      <c r="Q21" s="35" t="n">
        <v>7</v>
      </c>
      <c r="R21" s="35" t="n">
        <v>10</v>
      </c>
      <c r="S21" s="35" t="n">
        <v>9</v>
      </c>
      <c r="T21" s="37" t="n">
        <v>0.9330000000000001</v>
      </c>
      <c r="U21" s="38">
        <f>IFERROR([@InspDone]/[@InspPlanned],0)</f>
        <v/>
      </c>
      <c r="V21" s="38">
        <f>IFERROR([@ObsClosed]/[@ObsRaised],0)</f>
        <v/>
      </c>
    </row>
    <row r="22">
      <c r="A22" s="33" t="n">
        <v>45444</v>
      </c>
      <c r="B22" s="28">
        <f>YEAR([@Period])</f>
        <v/>
      </c>
      <c r="C22" s="28">
        <f>TEXT([@Period],"mmm")</f>
        <v/>
      </c>
      <c r="D22" s="30">
        <f>MONTH([@Period])</f>
        <v/>
      </c>
      <c r="E22" s="28" t="inlineStr">
        <is>
          <t>Accommodation Camp</t>
        </is>
      </c>
      <c r="F22" s="28" t="inlineStr">
        <is>
          <t>Administration</t>
        </is>
      </c>
      <c r="G22" s="28" t="inlineStr">
        <is>
          <t>Catering Co (Camp)</t>
        </is>
      </c>
      <c r="H22" s="34" t="n">
        <v>6330</v>
      </c>
      <c r="I22" s="35" t="n">
        <v>2</v>
      </c>
      <c r="J22" s="35" t="n">
        <v>0</v>
      </c>
      <c r="K22" s="35" t="n">
        <v>3</v>
      </c>
      <c r="L22" s="35" t="n">
        <v>2</v>
      </c>
      <c r="M22" s="35" t="n">
        <v>2</v>
      </c>
      <c r="N22" s="35" t="n">
        <v>2</v>
      </c>
      <c r="O22" s="36" t="n">
        <v>0.899</v>
      </c>
      <c r="P22" s="35" t="n">
        <v>1</v>
      </c>
      <c r="Q22" s="35" t="n">
        <v>2</v>
      </c>
      <c r="R22" s="35" t="n">
        <v>5</v>
      </c>
      <c r="S22" s="35" t="n">
        <v>5</v>
      </c>
      <c r="T22" s="37" t="n">
        <v>0.9419999999999999</v>
      </c>
      <c r="U22" s="38">
        <f>IFERROR([@InspDone]/[@InspPlanned],0)</f>
        <v/>
      </c>
      <c r="V22" s="38">
        <f>IFERROR([@ObsClosed]/[@ObsRaised],0)</f>
        <v/>
      </c>
    </row>
    <row r="23">
      <c r="A23" s="33" t="n">
        <v>45444</v>
      </c>
      <c r="B23" s="28">
        <f>YEAR([@Period])</f>
        <v/>
      </c>
      <c r="C23" s="28">
        <f>TEXT([@Period],"mmm")</f>
        <v/>
      </c>
      <c r="D23" s="30">
        <f>MONTH([@Period])</f>
        <v/>
      </c>
      <c r="E23" s="28" t="inlineStr">
        <is>
          <t>Security Gatehouse</t>
        </is>
      </c>
      <c r="F23" s="28" t="inlineStr">
        <is>
          <t>Security</t>
        </is>
      </c>
      <c r="G23" s="28" t="inlineStr">
        <is>
          <t>G4S (Security)</t>
        </is>
      </c>
      <c r="H23" s="34" t="n">
        <v>8145</v>
      </c>
      <c r="I23" s="35" t="n">
        <v>3</v>
      </c>
      <c r="J23" s="35" t="n">
        <v>1</v>
      </c>
      <c r="K23" s="35" t="n">
        <v>3</v>
      </c>
      <c r="L23" s="35" t="n">
        <v>3</v>
      </c>
      <c r="M23" s="35" t="n">
        <v>2</v>
      </c>
      <c r="N23" s="35" t="n">
        <v>2</v>
      </c>
      <c r="O23" s="36" t="n">
        <v>0.983</v>
      </c>
      <c r="P23" s="35" t="n">
        <v>1</v>
      </c>
      <c r="Q23" s="35" t="n">
        <v>5</v>
      </c>
      <c r="R23" s="35" t="n">
        <v>7</v>
      </c>
      <c r="S23" s="35" t="n">
        <v>7</v>
      </c>
      <c r="T23" s="37" t="n">
        <v>0.983</v>
      </c>
      <c r="U23" s="38">
        <f>IFERROR([@InspDone]/[@InspPlanned],0)</f>
        <v/>
      </c>
      <c r="V23" s="38">
        <f>IFERROR([@ObsClosed]/[@ObsRaised],0)</f>
        <v/>
      </c>
    </row>
    <row r="24">
      <c r="A24" s="33" t="n">
        <v>45474</v>
      </c>
      <c r="B24" s="28">
        <f>YEAR([@Period])</f>
        <v/>
      </c>
      <c r="C24" s="28">
        <f>TEXT([@Period],"mmm")</f>
        <v/>
      </c>
      <c r="D24" s="30">
        <f>MONTH([@Period])</f>
        <v/>
      </c>
      <c r="E24" s="28" t="inlineStr">
        <is>
          <t>Nkran Open Pit</t>
        </is>
      </c>
      <c r="F24" s="28" t="inlineStr">
        <is>
          <t>Mining</t>
        </is>
      </c>
      <c r="G24" s="28" t="inlineStr">
        <is>
          <t>AUMS (Mining Contractor)</t>
        </is>
      </c>
      <c r="H24" s="34" t="n">
        <v>26160</v>
      </c>
      <c r="I24" s="35" t="n">
        <v>9</v>
      </c>
      <c r="J24" s="35" t="n">
        <v>3</v>
      </c>
      <c r="K24" s="35" t="n">
        <v>11</v>
      </c>
      <c r="L24" s="35" t="n">
        <v>11</v>
      </c>
      <c r="M24" s="35" t="n">
        <v>6</v>
      </c>
      <c r="N24" s="35" t="n">
        <v>5</v>
      </c>
      <c r="O24" s="36" t="n">
        <v>0.893</v>
      </c>
      <c r="P24" s="35" t="n">
        <v>1</v>
      </c>
      <c r="Q24" s="35" t="n">
        <v>20</v>
      </c>
      <c r="R24" s="35" t="n">
        <v>20</v>
      </c>
      <c r="S24" s="35" t="n">
        <v>18</v>
      </c>
      <c r="T24" s="37" t="n">
        <v>0.915</v>
      </c>
      <c r="U24" s="38">
        <f>IFERROR([@InspDone]/[@InspPlanned],0)</f>
        <v/>
      </c>
      <c r="V24" s="38">
        <f>IFERROR([@ObsClosed]/[@ObsRaised],0)</f>
        <v/>
      </c>
    </row>
    <row r="25">
      <c r="A25" s="33" t="n">
        <v>45474</v>
      </c>
      <c r="B25" s="28">
        <f>YEAR([@Period])</f>
        <v/>
      </c>
      <c r="C25" s="28">
        <f>TEXT([@Period],"mmm")</f>
        <v/>
      </c>
      <c r="D25" s="30">
        <f>MONTH([@Period])</f>
        <v/>
      </c>
      <c r="E25" s="28" t="inlineStr">
        <is>
          <t>Esaase Open Pit</t>
        </is>
      </c>
      <c r="F25" s="28" t="inlineStr">
        <is>
          <t>Mining</t>
        </is>
      </c>
      <c r="G25" s="28" t="inlineStr">
        <is>
          <t>AUMS (Mining Contractor)</t>
        </is>
      </c>
      <c r="H25" s="34" t="n">
        <v>21560</v>
      </c>
      <c r="I25" s="35" t="n">
        <v>6</v>
      </c>
      <c r="J25" s="35" t="n">
        <v>2</v>
      </c>
      <c r="K25" s="35" t="n">
        <v>11</v>
      </c>
      <c r="L25" s="35" t="n">
        <v>9</v>
      </c>
      <c r="M25" s="35" t="n">
        <v>6</v>
      </c>
      <c r="N25" s="35" t="n">
        <v>5</v>
      </c>
      <c r="O25" s="36" t="n">
        <v>0.908</v>
      </c>
      <c r="P25" s="35" t="n">
        <v>1</v>
      </c>
      <c r="Q25" s="35" t="n">
        <v>14</v>
      </c>
      <c r="R25" s="35" t="n">
        <v>18</v>
      </c>
      <c r="S25" s="35" t="n">
        <v>17</v>
      </c>
      <c r="T25" s="37" t="n">
        <v>0.896</v>
      </c>
      <c r="U25" s="38">
        <f>IFERROR([@InspDone]/[@InspPlanned],0)</f>
        <v/>
      </c>
      <c r="V25" s="38">
        <f>IFERROR([@ObsClosed]/[@ObsRaised],0)</f>
        <v/>
      </c>
    </row>
    <row r="26">
      <c r="A26" s="33" t="n">
        <v>45474</v>
      </c>
      <c r="B26" s="28">
        <f>YEAR([@Period])</f>
        <v/>
      </c>
      <c r="C26" s="28">
        <f>TEXT([@Period],"mmm")</f>
        <v/>
      </c>
      <c r="D26" s="30">
        <f>MONTH([@Period])</f>
        <v/>
      </c>
      <c r="E26" s="28" t="inlineStr">
        <is>
          <t>Drill &amp; Blast</t>
        </is>
      </c>
      <c r="F26" s="28" t="inlineStr">
        <is>
          <t>Mining</t>
        </is>
      </c>
      <c r="G26" s="28" t="inlineStr">
        <is>
          <t>Maxam (Blasting)</t>
        </is>
      </c>
      <c r="H26" s="34" t="n">
        <v>7200</v>
      </c>
      <c r="I26" s="35" t="n">
        <v>1</v>
      </c>
      <c r="J26" s="35" t="n">
        <v>0</v>
      </c>
      <c r="K26" s="35" t="n">
        <v>10</v>
      </c>
      <c r="L26" s="35" t="n">
        <v>8</v>
      </c>
      <c r="M26" s="35" t="n">
        <v>2</v>
      </c>
      <c r="N26" s="35" t="n">
        <v>2</v>
      </c>
      <c r="O26" s="36" t="n">
        <v>0.9350000000000001</v>
      </c>
      <c r="P26" s="35" t="n">
        <v>0</v>
      </c>
      <c r="Q26" s="35" t="n">
        <v>5</v>
      </c>
      <c r="R26" s="35" t="n">
        <v>6</v>
      </c>
      <c r="S26" s="35" t="n">
        <v>6</v>
      </c>
      <c r="T26" s="37" t="n">
        <v>0.975</v>
      </c>
      <c r="U26" s="38">
        <f>IFERROR([@InspDone]/[@InspPlanned],0)</f>
        <v/>
      </c>
      <c r="V26" s="38">
        <f>IFERROR([@ObsClosed]/[@ObsRaised],0)</f>
        <v/>
      </c>
    </row>
    <row r="27">
      <c r="A27" s="33" t="n">
        <v>45474</v>
      </c>
      <c r="B27" s="28">
        <f>YEAR([@Period])</f>
        <v/>
      </c>
      <c r="C27" s="28">
        <f>TEXT([@Period],"mmm")</f>
        <v/>
      </c>
      <c r="D27" s="30">
        <f>MONTH([@Period])</f>
        <v/>
      </c>
      <c r="E27" s="28" t="inlineStr">
        <is>
          <t>Haul Roads</t>
        </is>
      </c>
      <c r="F27" s="28" t="inlineStr">
        <is>
          <t>Mining</t>
        </is>
      </c>
      <c r="G27" s="28" t="inlineStr">
        <is>
          <t>AUMS (Mining Contractor)</t>
        </is>
      </c>
      <c r="H27" s="34" t="n">
        <v>10980</v>
      </c>
      <c r="I27" s="35" t="n">
        <v>5</v>
      </c>
      <c r="J27" s="35" t="n">
        <v>3</v>
      </c>
      <c r="K27" s="35" t="n">
        <v>3</v>
      </c>
      <c r="L27" s="35" t="n">
        <v>3</v>
      </c>
      <c r="M27" s="35" t="n">
        <v>3</v>
      </c>
      <c r="N27" s="35" t="n">
        <v>3</v>
      </c>
      <c r="O27" s="36" t="n">
        <v>0.976</v>
      </c>
      <c r="P27" s="35" t="n">
        <v>1</v>
      </c>
      <c r="Q27" s="35" t="n">
        <v>6</v>
      </c>
      <c r="R27" s="35" t="n">
        <v>10</v>
      </c>
      <c r="S27" s="35" t="n">
        <v>10</v>
      </c>
      <c r="T27" s="37" t="n">
        <v>0.978</v>
      </c>
      <c r="U27" s="38">
        <f>IFERROR([@InspDone]/[@InspPlanned],0)</f>
        <v/>
      </c>
      <c r="V27" s="38">
        <f>IFERROR([@ObsClosed]/[@ObsRaised],0)</f>
        <v/>
      </c>
    </row>
    <row r="28">
      <c r="A28" s="33" t="n">
        <v>45474</v>
      </c>
      <c r="B28" s="28">
        <f>YEAR([@Period])</f>
        <v/>
      </c>
      <c r="C28" s="28">
        <f>TEXT([@Period],"mmm")</f>
        <v/>
      </c>
      <c r="D28" s="30">
        <f>MONTH([@Period])</f>
        <v/>
      </c>
      <c r="E28" s="28" t="inlineStr">
        <is>
          <t>Explosives Magazine</t>
        </is>
      </c>
      <c r="F28" s="28" t="inlineStr">
        <is>
          <t>Mining</t>
        </is>
      </c>
      <c r="G28" s="28" t="inlineStr">
        <is>
          <t>Maxam (Blasting)</t>
        </is>
      </c>
      <c r="H28" s="34" t="n">
        <v>3015</v>
      </c>
      <c r="I28" s="35" t="n">
        <v>0</v>
      </c>
      <c r="J28" s="35" t="n">
        <v>1</v>
      </c>
      <c r="K28" s="35" t="n">
        <v>2</v>
      </c>
      <c r="L28" s="35" t="n">
        <v>2</v>
      </c>
      <c r="M28" s="35" t="n">
        <v>2</v>
      </c>
      <c r="N28" s="35" t="n">
        <v>2</v>
      </c>
      <c r="O28" s="36" t="n">
        <v>0.924</v>
      </c>
      <c r="P28" s="35" t="n">
        <v>0</v>
      </c>
      <c r="Q28" s="35" t="n">
        <v>2</v>
      </c>
      <c r="R28" s="35" t="n">
        <v>3</v>
      </c>
      <c r="S28" s="35" t="n">
        <v>3</v>
      </c>
      <c r="T28" s="37" t="n">
        <v>0.999</v>
      </c>
      <c r="U28" s="38">
        <f>IFERROR([@InspDone]/[@InspPlanned],0)</f>
        <v/>
      </c>
      <c r="V28" s="38">
        <f>IFERROR([@ObsClosed]/[@ObsRaised],0)</f>
        <v/>
      </c>
    </row>
    <row r="29">
      <c r="A29" s="33" t="n">
        <v>45474</v>
      </c>
      <c r="B29" s="28">
        <f>YEAR([@Period])</f>
        <v/>
      </c>
      <c r="C29" s="28">
        <f>TEXT([@Period],"mmm")</f>
        <v/>
      </c>
      <c r="D29" s="30">
        <f>MONTH([@Period])</f>
        <v/>
      </c>
      <c r="E29" s="28" t="inlineStr">
        <is>
          <t>Crushing Circuit</t>
        </is>
      </c>
      <c r="F29" s="28" t="inlineStr">
        <is>
          <t>Processing</t>
        </is>
      </c>
      <c r="G29" s="28" t="inlineStr">
        <is>
          <t>Owner (Asanko)</t>
        </is>
      </c>
      <c r="H29" s="34" t="n">
        <v>7840</v>
      </c>
      <c r="I29" s="35" t="n">
        <v>1</v>
      </c>
      <c r="J29" s="35" t="n">
        <v>1</v>
      </c>
      <c r="K29" s="35" t="n">
        <v>3</v>
      </c>
      <c r="L29" s="35" t="n">
        <v>2</v>
      </c>
      <c r="M29" s="35" t="n">
        <v>2</v>
      </c>
      <c r="N29" s="35" t="n">
        <v>2</v>
      </c>
      <c r="O29" s="36" t="n">
        <v>0.9350000000000001</v>
      </c>
      <c r="P29" s="35" t="n">
        <v>0</v>
      </c>
      <c r="Q29" s="35" t="n">
        <v>7</v>
      </c>
      <c r="R29" s="35" t="n">
        <v>5</v>
      </c>
      <c r="S29" s="35" t="n">
        <v>5</v>
      </c>
      <c r="T29" s="37" t="n">
        <v>0.971</v>
      </c>
      <c r="U29" s="38">
        <f>IFERROR([@InspDone]/[@InspPlanned],0)</f>
        <v/>
      </c>
      <c r="V29" s="38">
        <f>IFERROR([@ObsClosed]/[@ObsRaised],0)</f>
        <v/>
      </c>
    </row>
    <row r="30">
      <c r="A30" s="33" t="n">
        <v>45474</v>
      </c>
      <c r="B30" s="28">
        <f>YEAR([@Period])</f>
        <v/>
      </c>
      <c r="C30" s="28">
        <f>TEXT([@Period],"mmm")</f>
        <v/>
      </c>
      <c r="D30" s="30">
        <f>MONTH([@Period])</f>
        <v/>
      </c>
      <c r="E30" s="28" t="inlineStr">
        <is>
          <t>Processing Plant (CIL)</t>
        </is>
      </c>
      <c r="F30" s="28" t="inlineStr">
        <is>
          <t>Processing</t>
        </is>
      </c>
      <c r="G30" s="28" t="inlineStr">
        <is>
          <t>Owner (Asanko)</t>
        </is>
      </c>
      <c r="H30" s="34" t="n">
        <v>20520</v>
      </c>
      <c r="I30" s="35" t="n">
        <v>3</v>
      </c>
      <c r="J30" s="35" t="n">
        <v>4</v>
      </c>
      <c r="K30" s="35" t="n">
        <v>7</v>
      </c>
      <c r="L30" s="35" t="n">
        <v>5</v>
      </c>
      <c r="M30" s="35" t="n">
        <v>5</v>
      </c>
      <c r="N30" s="35" t="n">
        <v>4</v>
      </c>
      <c r="O30" s="36" t="n">
        <v>0.954</v>
      </c>
      <c r="P30" s="35" t="n">
        <v>0</v>
      </c>
      <c r="Q30" s="35" t="n">
        <v>11</v>
      </c>
      <c r="R30" s="35" t="n">
        <v>15</v>
      </c>
      <c r="S30" s="35" t="n">
        <v>15</v>
      </c>
      <c r="T30" s="37" t="n">
        <v>0.993</v>
      </c>
      <c r="U30" s="38">
        <f>IFERROR([@InspDone]/[@InspPlanned],0)</f>
        <v/>
      </c>
      <c r="V30" s="38">
        <f>IFERROR([@ObsClosed]/[@ObsRaised],0)</f>
        <v/>
      </c>
    </row>
    <row r="31">
      <c r="A31" s="33" t="n">
        <v>45474</v>
      </c>
      <c r="B31" s="28">
        <f>YEAR([@Period])</f>
        <v/>
      </c>
      <c r="C31" s="28">
        <f>TEXT([@Period],"mmm")</f>
        <v/>
      </c>
      <c r="D31" s="30">
        <f>MONTH([@Period])</f>
        <v/>
      </c>
      <c r="E31" s="28" t="inlineStr">
        <is>
          <t>Elution &amp; Gold Room</t>
        </is>
      </c>
      <c r="F31" s="28" t="inlineStr">
        <is>
          <t>Processing</t>
        </is>
      </c>
      <c r="G31" s="28" t="inlineStr">
        <is>
          <t>Owner (Asanko)</t>
        </is>
      </c>
      <c r="H31" s="34" t="n">
        <v>3700</v>
      </c>
      <c r="I31" s="35" t="n">
        <v>2</v>
      </c>
      <c r="J31" s="35" t="n">
        <v>3</v>
      </c>
      <c r="K31" s="35" t="n">
        <v>0</v>
      </c>
      <c r="L31" s="35" t="n">
        <v>0</v>
      </c>
      <c r="M31" s="35" t="n">
        <v>2</v>
      </c>
      <c r="N31" s="35" t="n">
        <v>2</v>
      </c>
      <c r="O31" s="36" t="n">
        <v>0.9379999999999999</v>
      </c>
      <c r="P31" s="35" t="n">
        <v>1</v>
      </c>
      <c r="Q31" s="35" t="n">
        <v>4</v>
      </c>
      <c r="R31" s="35" t="n">
        <v>3</v>
      </c>
      <c r="S31" s="35" t="n">
        <v>3</v>
      </c>
      <c r="T31" s="37" t="n">
        <v>0.961</v>
      </c>
      <c r="U31" s="38">
        <f>IFERROR([@InspDone]/[@InspPlanned],0)</f>
        <v/>
      </c>
      <c r="V31" s="38">
        <f>IFERROR([@ObsClosed]/[@ObsRaised],0)</f>
        <v/>
      </c>
    </row>
    <row r="32">
      <c r="A32" s="33" t="n">
        <v>45474</v>
      </c>
      <c r="B32" s="28">
        <f>YEAR([@Period])</f>
        <v/>
      </c>
      <c r="C32" s="28">
        <f>TEXT([@Period],"mmm")</f>
        <v/>
      </c>
      <c r="D32" s="30">
        <f>MONTH([@Period])</f>
        <v/>
      </c>
      <c r="E32" s="28" t="inlineStr">
        <is>
          <t>Tailings Storage Facility</t>
        </is>
      </c>
      <c r="F32" s="28" t="inlineStr">
        <is>
          <t>Environment</t>
        </is>
      </c>
      <c r="G32" s="28" t="inlineStr">
        <is>
          <t>Owner (Asanko)</t>
        </is>
      </c>
      <c r="H32" s="34" t="n">
        <v>3456</v>
      </c>
      <c r="I32" s="35" t="n">
        <v>0</v>
      </c>
      <c r="J32" s="35" t="n">
        <v>5</v>
      </c>
      <c r="K32" s="35" t="n">
        <v>3</v>
      </c>
      <c r="L32" s="35" t="n">
        <v>3</v>
      </c>
      <c r="M32" s="35" t="n">
        <v>2</v>
      </c>
      <c r="N32" s="35" t="n">
        <v>2</v>
      </c>
      <c r="O32" s="36" t="n">
        <v>0.913</v>
      </c>
      <c r="P32" s="35" t="n">
        <v>1</v>
      </c>
      <c r="Q32" s="35" t="n">
        <v>4</v>
      </c>
      <c r="R32" s="35" t="n">
        <v>3</v>
      </c>
      <c r="S32" s="35" t="n">
        <v>3</v>
      </c>
      <c r="T32" s="37" t="n">
        <v>0.92</v>
      </c>
      <c r="U32" s="38">
        <f>IFERROR([@InspDone]/[@InspPlanned],0)</f>
        <v/>
      </c>
      <c r="V32" s="38">
        <f>IFERROR([@ObsClosed]/[@ObsRaised],0)</f>
        <v/>
      </c>
    </row>
    <row r="33">
      <c r="A33" s="33" t="n">
        <v>45474</v>
      </c>
      <c r="B33" s="28">
        <f>YEAR([@Period])</f>
        <v/>
      </c>
      <c r="C33" s="28">
        <f>TEXT([@Period],"mmm")</f>
        <v/>
      </c>
      <c r="D33" s="30">
        <f>MONTH([@Period])</f>
        <v/>
      </c>
      <c r="E33" s="28" t="inlineStr">
        <is>
          <t>Water Treatment</t>
        </is>
      </c>
      <c r="F33" s="28" t="inlineStr">
        <is>
          <t>Environment</t>
        </is>
      </c>
      <c r="G33" s="28" t="inlineStr">
        <is>
          <t>Owner (Asanko)</t>
        </is>
      </c>
      <c r="H33" s="34" t="n">
        <v>2292</v>
      </c>
      <c r="I33" s="35" t="n">
        <v>2</v>
      </c>
      <c r="J33" s="35" t="n">
        <v>0</v>
      </c>
      <c r="K33" s="35" t="n">
        <v>3</v>
      </c>
      <c r="L33" s="35" t="n">
        <v>2</v>
      </c>
      <c r="M33" s="35" t="n">
        <v>2</v>
      </c>
      <c r="N33" s="35" t="n">
        <v>2</v>
      </c>
      <c r="O33" s="36" t="n">
        <v>0.884</v>
      </c>
      <c r="P33" s="35" t="n">
        <v>1</v>
      </c>
      <c r="Q33" s="35" t="n">
        <v>2</v>
      </c>
      <c r="R33" s="35" t="n">
        <v>3</v>
      </c>
      <c r="S33" s="35" t="n">
        <v>3</v>
      </c>
      <c r="T33" s="37" t="n">
        <v>0.911</v>
      </c>
      <c r="U33" s="38">
        <f>IFERROR([@InspDone]/[@InspPlanned],0)</f>
        <v/>
      </c>
      <c r="V33" s="38">
        <f>IFERROR([@ObsClosed]/[@ObsRaised],0)</f>
        <v/>
      </c>
    </row>
    <row r="34">
      <c r="A34" s="33" t="n">
        <v>45474</v>
      </c>
      <c r="B34" s="28">
        <f>YEAR([@Period])</f>
        <v/>
      </c>
      <c r="C34" s="28">
        <f>TEXT([@Period],"mmm")</f>
        <v/>
      </c>
      <c r="D34" s="30">
        <f>MONTH([@Period])</f>
        <v/>
      </c>
      <c r="E34" s="28" t="inlineStr">
        <is>
          <t>Assay Laboratory</t>
        </is>
      </c>
      <c r="F34" s="28" t="inlineStr">
        <is>
          <t>Laboratory</t>
        </is>
      </c>
      <c r="G34" s="28" t="inlineStr">
        <is>
          <t>SGS (Laboratory)</t>
        </is>
      </c>
      <c r="H34" s="34" t="n">
        <v>5150</v>
      </c>
      <c r="I34" s="35" t="n">
        <v>2</v>
      </c>
      <c r="J34" s="35" t="n">
        <v>2</v>
      </c>
      <c r="K34" s="35" t="n">
        <v>1</v>
      </c>
      <c r="L34" s="35" t="n">
        <v>1</v>
      </c>
      <c r="M34" s="35" t="n">
        <v>2</v>
      </c>
      <c r="N34" s="35" t="n">
        <v>2</v>
      </c>
      <c r="O34" s="36" t="n">
        <v>0.953</v>
      </c>
      <c r="P34" s="35" t="n">
        <v>1</v>
      </c>
      <c r="Q34" s="35" t="n">
        <v>4</v>
      </c>
      <c r="R34" s="35" t="n">
        <v>4</v>
      </c>
      <c r="S34" s="35" t="n">
        <v>4</v>
      </c>
      <c r="T34" s="37" t="n">
        <v>0.987</v>
      </c>
      <c r="U34" s="38">
        <f>IFERROR([@InspDone]/[@InspPlanned],0)</f>
        <v/>
      </c>
      <c r="V34" s="38">
        <f>IFERROR([@ObsClosed]/[@ObsRaised],0)</f>
        <v/>
      </c>
    </row>
    <row r="35">
      <c r="A35" s="33" t="n">
        <v>45474</v>
      </c>
      <c r="B35" s="28">
        <f>YEAR([@Period])</f>
        <v/>
      </c>
      <c r="C35" s="28">
        <f>TEXT([@Period],"mmm")</f>
        <v/>
      </c>
      <c r="D35" s="30">
        <f>MONTH([@Period])</f>
        <v/>
      </c>
      <c r="E35" s="28" t="inlineStr">
        <is>
          <t>HME Workshop</t>
        </is>
      </c>
      <c r="F35" s="28" t="inlineStr">
        <is>
          <t>Engineering</t>
        </is>
      </c>
      <c r="G35" s="28" t="inlineStr">
        <is>
          <t>Owner (Asanko)</t>
        </is>
      </c>
      <c r="H35" s="34" t="n">
        <v>12155</v>
      </c>
      <c r="I35" s="35" t="n">
        <v>2</v>
      </c>
      <c r="J35" s="35" t="n">
        <v>4</v>
      </c>
      <c r="K35" s="35" t="n">
        <v>2</v>
      </c>
      <c r="L35" s="35" t="n">
        <v>2</v>
      </c>
      <c r="M35" s="35" t="n">
        <v>3</v>
      </c>
      <c r="N35" s="35" t="n">
        <v>3</v>
      </c>
      <c r="O35" s="36" t="n">
        <v>0.889</v>
      </c>
      <c r="P35" s="35" t="n">
        <v>1</v>
      </c>
      <c r="Q35" s="35" t="n">
        <v>9</v>
      </c>
      <c r="R35" s="35" t="n">
        <v>9</v>
      </c>
      <c r="S35" s="35" t="n">
        <v>8</v>
      </c>
      <c r="T35" s="37" t="n">
        <v>0.9360000000000001</v>
      </c>
      <c r="U35" s="38">
        <f>IFERROR([@InspDone]/[@InspPlanned],0)</f>
        <v/>
      </c>
      <c r="V35" s="38">
        <f>IFERROR([@ObsClosed]/[@ObsRaised],0)</f>
        <v/>
      </c>
    </row>
    <row r="36">
      <c r="A36" s="33" t="n">
        <v>45474</v>
      </c>
      <c r="B36" s="28">
        <f>YEAR([@Period])</f>
        <v/>
      </c>
      <c r="C36" s="28">
        <f>TEXT([@Period],"mmm")</f>
        <v/>
      </c>
      <c r="D36" s="30">
        <f>MONTH([@Period])</f>
        <v/>
      </c>
      <c r="E36" s="28" t="inlineStr">
        <is>
          <t>Fuel Farm</t>
        </is>
      </c>
      <c r="F36" s="28" t="inlineStr">
        <is>
          <t>Engineering</t>
        </is>
      </c>
      <c r="G36" s="28" t="inlineStr">
        <is>
          <t>Owner (Asanko)</t>
        </is>
      </c>
      <c r="H36" s="34" t="n">
        <v>1830</v>
      </c>
      <c r="I36" s="35" t="n">
        <v>1</v>
      </c>
      <c r="J36" s="35" t="n">
        <v>0</v>
      </c>
      <c r="K36" s="35" t="n">
        <v>2</v>
      </c>
      <c r="L36" s="35" t="n">
        <v>2</v>
      </c>
      <c r="M36" s="35" t="n">
        <v>2</v>
      </c>
      <c r="N36" s="35" t="n">
        <v>2</v>
      </c>
      <c r="O36" s="36" t="n">
        <v>0.889</v>
      </c>
      <c r="P36" s="35" t="n">
        <v>0</v>
      </c>
      <c r="Q36" s="35" t="n">
        <v>2</v>
      </c>
      <c r="R36" s="35" t="n">
        <v>3</v>
      </c>
      <c r="S36" s="35" t="n">
        <v>3</v>
      </c>
      <c r="T36" s="37" t="n">
        <v>0.989</v>
      </c>
      <c r="U36" s="38">
        <f>IFERROR([@InspDone]/[@InspPlanned],0)</f>
        <v/>
      </c>
      <c r="V36" s="38">
        <f>IFERROR([@ObsClosed]/[@ObsRaised],0)</f>
        <v/>
      </c>
    </row>
    <row r="37">
      <c r="A37" s="33" t="n">
        <v>45474</v>
      </c>
      <c r="B37" s="28">
        <f>YEAR([@Period])</f>
        <v/>
      </c>
      <c r="C37" s="28">
        <f>TEXT([@Period],"mmm")</f>
        <v/>
      </c>
      <c r="D37" s="30">
        <f>MONTH([@Period])</f>
        <v/>
      </c>
      <c r="E37" s="28" t="inlineStr">
        <is>
          <t>Power Station</t>
        </is>
      </c>
      <c r="F37" s="28" t="inlineStr">
        <is>
          <t>Engineering</t>
        </is>
      </c>
      <c r="G37" s="28" t="inlineStr">
        <is>
          <t>Genser (Power)</t>
        </is>
      </c>
      <c r="H37" s="34" t="n">
        <v>4070</v>
      </c>
      <c r="I37" s="35" t="n">
        <v>1</v>
      </c>
      <c r="J37" s="35" t="n">
        <v>1</v>
      </c>
      <c r="K37" s="35" t="n">
        <v>2</v>
      </c>
      <c r="L37" s="35" t="n">
        <v>2</v>
      </c>
      <c r="M37" s="35" t="n">
        <v>2</v>
      </c>
      <c r="N37" s="35" t="n">
        <v>2</v>
      </c>
      <c r="O37" s="36" t="n">
        <v>0.958</v>
      </c>
      <c r="P37" s="35" t="n">
        <v>0</v>
      </c>
      <c r="Q37" s="35" t="n">
        <v>0</v>
      </c>
      <c r="R37" s="35" t="n">
        <v>3</v>
      </c>
      <c r="S37" s="35" t="n">
        <v>3</v>
      </c>
      <c r="T37" s="37" t="n">
        <v>0.929</v>
      </c>
      <c r="U37" s="38">
        <f>IFERROR([@InspDone]/[@InspPlanned],0)</f>
        <v/>
      </c>
      <c r="V37" s="38">
        <f>IFERROR([@ObsClosed]/[@ObsRaised],0)</f>
        <v/>
      </c>
    </row>
    <row r="38">
      <c r="A38" s="33" t="n">
        <v>45474</v>
      </c>
      <c r="B38" s="28">
        <f>YEAR([@Period])</f>
        <v/>
      </c>
      <c r="C38" s="28">
        <f>TEXT([@Period],"mmm")</f>
        <v/>
      </c>
      <c r="D38" s="30">
        <f>MONTH([@Period])</f>
        <v/>
      </c>
      <c r="E38" s="28" t="inlineStr">
        <is>
          <t>Warehouse &amp; Stores</t>
        </is>
      </c>
      <c r="F38" s="28" t="inlineStr">
        <is>
          <t>Logistics</t>
        </is>
      </c>
      <c r="G38" s="28" t="inlineStr">
        <is>
          <t>Owner (Asanko)</t>
        </is>
      </c>
      <c r="H38" s="34" t="n">
        <v>4824</v>
      </c>
      <c r="I38" s="35" t="n">
        <v>0</v>
      </c>
      <c r="J38" s="35" t="n">
        <v>1</v>
      </c>
      <c r="K38" s="35" t="n">
        <v>2</v>
      </c>
      <c r="L38" s="35" t="n">
        <v>2</v>
      </c>
      <c r="M38" s="35" t="n">
        <v>2</v>
      </c>
      <c r="N38" s="35" t="n">
        <v>2</v>
      </c>
      <c r="O38" s="36" t="n">
        <v>0.9370000000000001</v>
      </c>
      <c r="P38" s="35" t="n">
        <v>0</v>
      </c>
      <c r="Q38" s="35" t="n">
        <v>4</v>
      </c>
      <c r="R38" s="35" t="n">
        <v>4</v>
      </c>
      <c r="S38" s="35" t="n">
        <v>4</v>
      </c>
      <c r="T38" s="37" t="n">
        <v>0.889</v>
      </c>
      <c r="U38" s="38">
        <f>IFERROR([@InspDone]/[@InspPlanned],0)</f>
        <v/>
      </c>
      <c r="V38" s="38">
        <f>IFERROR([@ObsClosed]/[@ObsRaised],0)</f>
        <v/>
      </c>
    </row>
    <row r="39">
      <c r="A39" s="33" t="n">
        <v>45474</v>
      </c>
      <c r="B39" s="28">
        <f>YEAR([@Period])</f>
        <v/>
      </c>
      <c r="C39" s="28">
        <f>TEXT([@Period],"mmm")</f>
        <v/>
      </c>
      <c r="D39" s="30">
        <f>MONTH([@Period])</f>
        <v/>
      </c>
      <c r="E39" s="28" t="inlineStr">
        <is>
          <t>Administration</t>
        </is>
      </c>
      <c r="F39" s="28" t="inlineStr">
        <is>
          <t>Administration</t>
        </is>
      </c>
      <c r="G39" s="28" t="inlineStr">
        <is>
          <t>Owner (Asanko)</t>
        </is>
      </c>
      <c r="H39" s="34" t="n">
        <v>12000</v>
      </c>
      <c r="I39" s="35" t="n">
        <v>5</v>
      </c>
      <c r="J39" s="35" t="n">
        <v>1</v>
      </c>
      <c r="K39" s="35" t="n">
        <v>1</v>
      </c>
      <c r="L39" s="35" t="n">
        <v>1</v>
      </c>
      <c r="M39" s="35" t="n">
        <v>3</v>
      </c>
      <c r="N39" s="35" t="n">
        <v>3</v>
      </c>
      <c r="O39" s="36" t="n">
        <v>0.964</v>
      </c>
      <c r="P39" s="35" t="n">
        <v>1</v>
      </c>
      <c r="Q39" s="35" t="n">
        <v>4</v>
      </c>
      <c r="R39" s="35" t="n">
        <v>10</v>
      </c>
      <c r="S39" s="35" t="n">
        <v>10</v>
      </c>
      <c r="T39" s="37" t="n">
        <v>0.919</v>
      </c>
      <c r="U39" s="38">
        <f>IFERROR([@InspDone]/[@InspPlanned],0)</f>
        <v/>
      </c>
      <c r="V39" s="38">
        <f>IFERROR([@ObsClosed]/[@ObsRaised],0)</f>
        <v/>
      </c>
    </row>
    <row r="40">
      <c r="A40" s="33" t="n">
        <v>45474</v>
      </c>
      <c r="B40" s="28">
        <f>YEAR([@Period])</f>
        <v/>
      </c>
      <c r="C40" s="28">
        <f>TEXT([@Period],"mmm")</f>
        <v/>
      </c>
      <c r="D40" s="30">
        <f>MONTH([@Period])</f>
        <v/>
      </c>
      <c r="E40" s="28" t="inlineStr">
        <is>
          <t>Accommodation Camp</t>
        </is>
      </c>
      <c r="F40" s="28" t="inlineStr">
        <is>
          <t>Administration</t>
        </is>
      </c>
      <c r="G40" s="28" t="inlineStr">
        <is>
          <t>Catering Co (Camp)</t>
        </is>
      </c>
      <c r="H40" s="34" t="n">
        <v>5970</v>
      </c>
      <c r="I40" s="35" t="n">
        <v>2</v>
      </c>
      <c r="J40" s="35" t="n">
        <v>2</v>
      </c>
      <c r="K40" s="35" t="n">
        <v>3</v>
      </c>
      <c r="L40" s="35" t="n">
        <v>2</v>
      </c>
      <c r="M40" s="35" t="n">
        <v>2</v>
      </c>
      <c r="N40" s="35" t="n">
        <v>2</v>
      </c>
      <c r="O40" s="36" t="n">
        <v>0.947</v>
      </c>
      <c r="P40" s="35" t="n">
        <v>1</v>
      </c>
      <c r="Q40" s="35" t="n">
        <v>7</v>
      </c>
      <c r="R40" s="35" t="n">
        <v>5</v>
      </c>
      <c r="S40" s="35" t="n">
        <v>5</v>
      </c>
      <c r="T40" s="37" t="n">
        <v>0.916</v>
      </c>
      <c r="U40" s="38">
        <f>IFERROR([@InspDone]/[@InspPlanned],0)</f>
        <v/>
      </c>
      <c r="V40" s="38">
        <f>IFERROR([@ObsClosed]/[@ObsRaised],0)</f>
        <v/>
      </c>
    </row>
    <row r="41">
      <c r="A41" s="33" t="n">
        <v>45474</v>
      </c>
      <c r="B41" s="28">
        <f>YEAR([@Period])</f>
        <v/>
      </c>
      <c r="C41" s="28">
        <f>TEXT([@Period],"mmm")</f>
        <v/>
      </c>
      <c r="D41" s="30">
        <f>MONTH([@Period])</f>
        <v/>
      </c>
      <c r="E41" s="28" t="inlineStr">
        <is>
          <t>Security Gatehouse</t>
        </is>
      </c>
      <c r="F41" s="28" t="inlineStr">
        <is>
          <t>Security</t>
        </is>
      </c>
      <c r="G41" s="28" t="inlineStr">
        <is>
          <t>G4S (Security)</t>
        </is>
      </c>
      <c r="H41" s="34" t="n">
        <v>10170</v>
      </c>
      <c r="I41" s="35" t="n">
        <v>5</v>
      </c>
      <c r="J41" s="35" t="n">
        <v>2</v>
      </c>
      <c r="K41" s="35" t="n">
        <v>4</v>
      </c>
      <c r="L41" s="35" t="n">
        <v>3</v>
      </c>
      <c r="M41" s="35" t="n">
        <v>2</v>
      </c>
      <c r="N41" s="35" t="n">
        <v>2</v>
      </c>
      <c r="O41" s="36" t="n">
        <v>0.978</v>
      </c>
      <c r="P41" s="35" t="n">
        <v>0</v>
      </c>
      <c r="Q41" s="35" t="n">
        <v>4</v>
      </c>
      <c r="R41" s="35" t="n">
        <v>7</v>
      </c>
      <c r="S41" s="35" t="n">
        <v>7</v>
      </c>
      <c r="T41" s="37" t="n">
        <v>0.901</v>
      </c>
      <c r="U41" s="38">
        <f>IFERROR([@InspDone]/[@InspPlanned],0)</f>
        <v/>
      </c>
      <c r="V41" s="38">
        <f>IFERROR([@ObsClosed]/[@ObsRaised],0)</f>
        <v/>
      </c>
    </row>
    <row r="42">
      <c r="A42" s="33" t="n">
        <v>45505</v>
      </c>
      <c r="B42" s="28">
        <f>YEAR([@Period])</f>
        <v/>
      </c>
      <c r="C42" s="28">
        <f>TEXT([@Period],"mmm")</f>
        <v/>
      </c>
      <c r="D42" s="30">
        <f>MONTH([@Period])</f>
        <v/>
      </c>
      <c r="E42" s="28" t="inlineStr">
        <is>
          <t>Nkran Open Pit</t>
        </is>
      </c>
      <c r="F42" s="28" t="inlineStr">
        <is>
          <t>Mining</t>
        </is>
      </c>
      <c r="G42" s="28" t="inlineStr">
        <is>
          <t>AUMS (Mining Contractor)</t>
        </is>
      </c>
      <c r="H42" s="34" t="n">
        <v>23040</v>
      </c>
      <c r="I42" s="35" t="n">
        <v>2</v>
      </c>
      <c r="J42" s="35" t="n">
        <v>1</v>
      </c>
      <c r="K42" s="35" t="n">
        <v>14</v>
      </c>
      <c r="L42" s="35" t="n">
        <v>12</v>
      </c>
      <c r="M42" s="35" t="n">
        <v>6</v>
      </c>
      <c r="N42" s="35" t="n">
        <v>6</v>
      </c>
      <c r="O42" s="36" t="n">
        <v>0.931</v>
      </c>
      <c r="P42" s="35" t="n">
        <v>1</v>
      </c>
      <c r="Q42" s="35" t="n">
        <v>6</v>
      </c>
      <c r="R42" s="35" t="n">
        <v>20</v>
      </c>
      <c r="S42" s="35" t="n">
        <v>20</v>
      </c>
      <c r="T42" s="37" t="n">
        <v>0.881</v>
      </c>
      <c r="U42" s="38">
        <f>IFERROR([@InspDone]/[@InspPlanned],0)</f>
        <v/>
      </c>
      <c r="V42" s="38">
        <f>IFERROR([@ObsClosed]/[@ObsRaised],0)</f>
        <v/>
      </c>
    </row>
    <row r="43">
      <c r="A43" s="33" t="n">
        <v>45505</v>
      </c>
      <c r="B43" s="28">
        <f>YEAR([@Period])</f>
        <v/>
      </c>
      <c r="C43" s="28">
        <f>TEXT([@Period],"mmm")</f>
        <v/>
      </c>
      <c r="D43" s="30">
        <f>MONTH([@Period])</f>
        <v/>
      </c>
      <c r="E43" s="28" t="inlineStr">
        <is>
          <t>Esaase Open Pit</t>
        </is>
      </c>
      <c r="F43" s="28" t="inlineStr">
        <is>
          <t>Mining</t>
        </is>
      </c>
      <c r="G43" s="28" t="inlineStr">
        <is>
          <t>AUMS (Mining Contractor)</t>
        </is>
      </c>
      <c r="H43" s="34" t="n">
        <v>22770</v>
      </c>
      <c r="I43" s="35" t="n">
        <v>6</v>
      </c>
      <c r="J43" s="35" t="n">
        <v>4</v>
      </c>
      <c r="K43" s="35" t="n">
        <v>4</v>
      </c>
      <c r="L43" s="35" t="n">
        <v>3</v>
      </c>
      <c r="M43" s="35" t="n">
        <v>6</v>
      </c>
      <c r="N43" s="35" t="n">
        <v>6</v>
      </c>
      <c r="O43" s="36" t="n">
        <v>0.95</v>
      </c>
      <c r="P43" s="35" t="n">
        <v>0</v>
      </c>
      <c r="Q43" s="35" t="n">
        <v>13</v>
      </c>
      <c r="R43" s="35" t="n">
        <v>18</v>
      </c>
      <c r="S43" s="35" t="n">
        <v>17</v>
      </c>
      <c r="T43" s="37" t="n">
        <v>0.952</v>
      </c>
      <c r="U43" s="38">
        <f>IFERROR([@InspDone]/[@InspPlanned],0)</f>
        <v/>
      </c>
      <c r="V43" s="38">
        <f>IFERROR([@ObsClosed]/[@ObsRaised],0)</f>
        <v/>
      </c>
    </row>
    <row r="44">
      <c r="A44" s="33" t="n">
        <v>45505</v>
      </c>
      <c r="B44" s="28">
        <f>YEAR([@Period])</f>
        <v/>
      </c>
      <c r="C44" s="28">
        <f>TEXT([@Period],"mmm")</f>
        <v/>
      </c>
      <c r="D44" s="30">
        <f>MONTH([@Period])</f>
        <v/>
      </c>
      <c r="E44" s="28" t="inlineStr">
        <is>
          <t>Drill &amp; Blast</t>
        </is>
      </c>
      <c r="F44" s="28" t="inlineStr">
        <is>
          <t>Mining</t>
        </is>
      </c>
      <c r="G44" s="28" t="inlineStr">
        <is>
          <t>Maxam (Blasting)</t>
        </is>
      </c>
      <c r="H44" s="34" t="n">
        <v>8560</v>
      </c>
      <c r="I44" s="35" t="n">
        <v>0</v>
      </c>
      <c r="J44" s="35" t="n">
        <v>0</v>
      </c>
      <c r="K44" s="35" t="n">
        <v>2</v>
      </c>
      <c r="L44" s="35" t="n">
        <v>2</v>
      </c>
      <c r="M44" s="35" t="n">
        <v>2</v>
      </c>
      <c r="N44" s="35" t="n">
        <v>2</v>
      </c>
      <c r="O44" s="36" t="n">
        <v>0.903</v>
      </c>
      <c r="P44" s="35" t="n">
        <v>0</v>
      </c>
      <c r="Q44" s="35" t="n">
        <v>1</v>
      </c>
      <c r="R44" s="35" t="n">
        <v>6</v>
      </c>
      <c r="S44" s="35" t="n">
        <v>6</v>
      </c>
      <c r="T44" s="37" t="n">
        <v>0.994</v>
      </c>
      <c r="U44" s="38">
        <f>IFERROR([@InspDone]/[@InspPlanned],0)</f>
        <v/>
      </c>
      <c r="V44" s="38">
        <f>IFERROR([@ObsClosed]/[@ObsRaised],0)</f>
        <v/>
      </c>
    </row>
    <row r="45">
      <c r="A45" s="33" t="n">
        <v>45505</v>
      </c>
      <c r="B45" s="28">
        <f>YEAR([@Period])</f>
        <v/>
      </c>
      <c r="C45" s="28">
        <f>TEXT([@Period],"mmm")</f>
        <v/>
      </c>
      <c r="D45" s="30">
        <f>MONTH([@Period])</f>
        <v/>
      </c>
      <c r="E45" s="28" t="inlineStr">
        <is>
          <t>Haul Roads</t>
        </is>
      </c>
      <c r="F45" s="28" t="inlineStr">
        <is>
          <t>Mining</t>
        </is>
      </c>
      <c r="G45" s="28" t="inlineStr">
        <is>
          <t>AUMS (Mining Contractor)</t>
        </is>
      </c>
      <c r="H45" s="34" t="n">
        <v>12300</v>
      </c>
      <c r="I45" s="35" t="n">
        <v>5</v>
      </c>
      <c r="J45" s="35" t="n">
        <v>3</v>
      </c>
      <c r="K45" s="35" t="n">
        <v>3</v>
      </c>
      <c r="L45" s="35" t="n">
        <v>3</v>
      </c>
      <c r="M45" s="35" t="n">
        <v>3</v>
      </c>
      <c r="N45" s="35" t="n">
        <v>3</v>
      </c>
      <c r="O45" s="36" t="n">
        <v>0.9340000000000001</v>
      </c>
      <c r="P45" s="35" t="n">
        <v>0</v>
      </c>
      <c r="Q45" s="35" t="n">
        <v>6</v>
      </c>
      <c r="R45" s="35" t="n">
        <v>10</v>
      </c>
      <c r="S45" s="35" t="n">
        <v>9</v>
      </c>
      <c r="T45" s="37" t="n">
        <v>0.993</v>
      </c>
      <c r="U45" s="38">
        <f>IFERROR([@InspDone]/[@InspPlanned],0)</f>
        <v/>
      </c>
      <c r="V45" s="38">
        <f>IFERROR([@ObsClosed]/[@ObsRaised],0)</f>
        <v/>
      </c>
    </row>
    <row r="46">
      <c r="A46" s="33" t="n">
        <v>45505</v>
      </c>
      <c r="B46" s="28">
        <f>YEAR([@Period])</f>
        <v/>
      </c>
      <c r="C46" s="28">
        <f>TEXT([@Period],"mmm")</f>
        <v/>
      </c>
      <c r="D46" s="30">
        <f>MONTH([@Period])</f>
        <v/>
      </c>
      <c r="E46" s="28" t="inlineStr">
        <is>
          <t>Explosives Magazine</t>
        </is>
      </c>
      <c r="F46" s="28" t="inlineStr">
        <is>
          <t>Mining</t>
        </is>
      </c>
      <c r="G46" s="28" t="inlineStr">
        <is>
          <t>Maxam (Blasting)</t>
        </is>
      </c>
      <c r="H46" s="34" t="n">
        <v>3090</v>
      </c>
      <c r="I46" s="35" t="n">
        <v>0</v>
      </c>
      <c r="J46" s="35" t="n">
        <v>1</v>
      </c>
      <c r="K46" s="35" t="n">
        <v>2</v>
      </c>
      <c r="L46" s="35" t="n">
        <v>2</v>
      </c>
      <c r="M46" s="35" t="n">
        <v>2</v>
      </c>
      <c r="N46" s="35" t="n">
        <v>2</v>
      </c>
      <c r="O46" s="36" t="n">
        <v>0.96</v>
      </c>
      <c r="P46" s="35" t="n">
        <v>1</v>
      </c>
      <c r="Q46" s="35" t="n">
        <v>2</v>
      </c>
      <c r="R46" s="35" t="n">
        <v>3</v>
      </c>
      <c r="S46" s="35" t="n">
        <v>3</v>
      </c>
      <c r="T46" s="37" t="n">
        <v>0.921</v>
      </c>
      <c r="U46" s="38">
        <f>IFERROR([@InspDone]/[@InspPlanned],0)</f>
        <v/>
      </c>
      <c r="V46" s="38">
        <f>IFERROR([@ObsClosed]/[@ObsRaised],0)</f>
        <v/>
      </c>
    </row>
    <row r="47">
      <c r="A47" s="33" t="n">
        <v>45505</v>
      </c>
      <c r="B47" s="28">
        <f>YEAR([@Period])</f>
        <v/>
      </c>
      <c r="C47" s="28">
        <f>TEXT([@Period],"mmm")</f>
        <v/>
      </c>
      <c r="D47" s="30">
        <f>MONTH([@Period])</f>
        <v/>
      </c>
      <c r="E47" s="28" t="inlineStr">
        <is>
          <t>Crushing Circuit</t>
        </is>
      </c>
      <c r="F47" s="28" t="inlineStr">
        <is>
          <t>Processing</t>
        </is>
      </c>
      <c r="G47" s="28" t="inlineStr">
        <is>
          <t>Owner (Asanko)</t>
        </is>
      </c>
      <c r="H47" s="34" t="n">
        <v>6825</v>
      </c>
      <c r="I47" s="35" t="n">
        <v>2</v>
      </c>
      <c r="J47" s="35" t="n">
        <v>1</v>
      </c>
      <c r="K47" s="35" t="n">
        <v>5</v>
      </c>
      <c r="L47" s="35" t="n">
        <v>5</v>
      </c>
      <c r="M47" s="35" t="n">
        <v>2</v>
      </c>
      <c r="N47" s="35" t="n">
        <v>2</v>
      </c>
      <c r="O47" s="36" t="n">
        <v>0.896</v>
      </c>
      <c r="P47" s="35" t="n">
        <v>0</v>
      </c>
      <c r="Q47" s="35" t="n">
        <v>2</v>
      </c>
      <c r="R47" s="35" t="n">
        <v>5</v>
      </c>
      <c r="S47" s="35" t="n">
        <v>5</v>
      </c>
      <c r="T47" s="37" t="n">
        <v>0.897</v>
      </c>
      <c r="U47" s="38">
        <f>IFERROR([@InspDone]/[@InspPlanned],0)</f>
        <v/>
      </c>
      <c r="V47" s="38">
        <f>IFERROR([@ObsClosed]/[@ObsRaised],0)</f>
        <v/>
      </c>
    </row>
    <row r="48">
      <c r="A48" s="33" t="n">
        <v>45505</v>
      </c>
      <c r="B48" s="28">
        <f>YEAR([@Period])</f>
        <v/>
      </c>
      <c r="C48" s="28">
        <f>TEXT([@Period],"mmm")</f>
        <v/>
      </c>
      <c r="D48" s="30">
        <f>MONTH([@Period])</f>
        <v/>
      </c>
      <c r="E48" s="28" t="inlineStr">
        <is>
          <t>Processing Plant (CIL)</t>
        </is>
      </c>
      <c r="F48" s="28" t="inlineStr">
        <is>
          <t>Processing</t>
        </is>
      </c>
      <c r="G48" s="28" t="inlineStr">
        <is>
          <t>Owner (Asanko)</t>
        </is>
      </c>
      <c r="H48" s="34" t="n">
        <v>17100</v>
      </c>
      <c r="I48" s="35" t="n">
        <v>3</v>
      </c>
      <c r="J48" s="35" t="n">
        <v>3</v>
      </c>
      <c r="K48" s="35" t="n">
        <v>4</v>
      </c>
      <c r="L48" s="35" t="n">
        <v>3</v>
      </c>
      <c r="M48" s="35" t="n">
        <v>5</v>
      </c>
      <c r="N48" s="35" t="n">
        <v>5</v>
      </c>
      <c r="O48" s="36" t="n">
        <v>0.948</v>
      </c>
      <c r="P48" s="35" t="n">
        <v>0</v>
      </c>
      <c r="Q48" s="35" t="n">
        <v>6</v>
      </c>
      <c r="R48" s="35" t="n">
        <v>15</v>
      </c>
      <c r="S48" s="35" t="n">
        <v>14</v>
      </c>
      <c r="T48" s="37" t="n">
        <v>0.952</v>
      </c>
      <c r="U48" s="38">
        <f>IFERROR([@InspDone]/[@InspPlanned],0)</f>
        <v/>
      </c>
      <c r="V48" s="38">
        <f>IFERROR([@ObsClosed]/[@ObsRaised],0)</f>
        <v/>
      </c>
    </row>
    <row r="49">
      <c r="A49" s="33" t="n">
        <v>45505</v>
      </c>
      <c r="B49" s="28">
        <f>YEAR([@Period])</f>
        <v/>
      </c>
      <c r="C49" s="28">
        <f>TEXT([@Period],"mmm")</f>
        <v/>
      </c>
      <c r="D49" s="30">
        <f>MONTH([@Period])</f>
        <v/>
      </c>
      <c r="E49" s="28" t="inlineStr">
        <is>
          <t>Elution &amp; Gold Room</t>
        </is>
      </c>
      <c r="F49" s="28" t="inlineStr">
        <is>
          <t>Processing</t>
        </is>
      </c>
      <c r="G49" s="28" t="inlineStr">
        <is>
          <t>Owner (Asanko)</t>
        </is>
      </c>
      <c r="H49" s="34" t="n">
        <v>3840</v>
      </c>
      <c r="I49" s="35" t="n">
        <v>0</v>
      </c>
      <c r="J49" s="35" t="n">
        <v>4</v>
      </c>
      <c r="K49" s="35" t="n">
        <v>2</v>
      </c>
      <c r="L49" s="35" t="n">
        <v>2</v>
      </c>
      <c r="M49" s="35" t="n">
        <v>2</v>
      </c>
      <c r="N49" s="35" t="n">
        <v>2</v>
      </c>
      <c r="O49" s="36" t="n">
        <v>0.882</v>
      </c>
      <c r="P49" s="35" t="n">
        <v>1</v>
      </c>
      <c r="Q49" s="35" t="n">
        <v>2</v>
      </c>
      <c r="R49" s="35" t="n">
        <v>3</v>
      </c>
      <c r="S49" s="35" t="n">
        <v>3</v>
      </c>
      <c r="T49" s="37" t="n">
        <v>0.997</v>
      </c>
      <c r="U49" s="38">
        <f>IFERROR([@InspDone]/[@InspPlanned],0)</f>
        <v/>
      </c>
      <c r="V49" s="38">
        <f>IFERROR([@ObsClosed]/[@ObsRaised],0)</f>
        <v/>
      </c>
    </row>
    <row r="50">
      <c r="A50" s="33" t="n">
        <v>45505</v>
      </c>
      <c r="B50" s="28">
        <f>YEAR([@Period])</f>
        <v/>
      </c>
      <c r="C50" s="28">
        <f>TEXT([@Period],"mmm")</f>
        <v/>
      </c>
      <c r="D50" s="30">
        <f>MONTH([@Period])</f>
        <v/>
      </c>
      <c r="E50" s="28" t="inlineStr">
        <is>
          <t>Tailings Storage Facility</t>
        </is>
      </c>
      <c r="F50" s="28" t="inlineStr">
        <is>
          <t>Environment</t>
        </is>
      </c>
      <c r="G50" s="28" t="inlineStr">
        <is>
          <t>Owner (Asanko)</t>
        </is>
      </c>
      <c r="H50" s="34" t="n">
        <v>3492</v>
      </c>
      <c r="I50" s="35" t="n">
        <v>0</v>
      </c>
      <c r="J50" s="35" t="n">
        <v>0</v>
      </c>
      <c r="K50" s="35" t="n">
        <v>2</v>
      </c>
      <c r="L50" s="35" t="n">
        <v>2</v>
      </c>
      <c r="M50" s="35" t="n">
        <v>2</v>
      </c>
      <c r="N50" s="35" t="n">
        <v>2</v>
      </c>
      <c r="O50" s="36" t="n">
        <v>0.987</v>
      </c>
      <c r="P50" s="35" t="n">
        <v>0</v>
      </c>
      <c r="Q50" s="35" t="n">
        <v>2</v>
      </c>
      <c r="R50" s="35" t="n">
        <v>3</v>
      </c>
      <c r="S50" s="35" t="n">
        <v>3</v>
      </c>
      <c r="T50" s="37" t="n">
        <v>0.983</v>
      </c>
      <c r="U50" s="38">
        <f>IFERROR([@InspDone]/[@InspPlanned],0)</f>
        <v/>
      </c>
      <c r="V50" s="38">
        <f>IFERROR([@ObsClosed]/[@ObsRaised],0)</f>
        <v/>
      </c>
    </row>
    <row r="51">
      <c r="A51" s="33" t="n">
        <v>45505</v>
      </c>
      <c r="B51" s="28">
        <f>YEAR([@Period])</f>
        <v/>
      </c>
      <c r="C51" s="28">
        <f>TEXT([@Period],"mmm")</f>
        <v/>
      </c>
      <c r="D51" s="30">
        <f>MONTH([@Period])</f>
        <v/>
      </c>
      <c r="E51" s="28" t="inlineStr">
        <is>
          <t>Water Treatment</t>
        </is>
      </c>
      <c r="F51" s="28" t="inlineStr">
        <is>
          <t>Environment</t>
        </is>
      </c>
      <c r="G51" s="28" t="inlineStr">
        <is>
          <t>Owner (Asanko)</t>
        </is>
      </c>
      <c r="H51" s="34" t="n">
        <v>2256</v>
      </c>
      <c r="I51" s="35" t="n">
        <v>0</v>
      </c>
      <c r="J51" s="35" t="n">
        <v>1</v>
      </c>
      <c r="K51" s="35" t="n">
        <v>2</v>
      </c>
      <c r="L51" s="35" t="n">
        <v>2</v>
      </c>
      <c r="M51" s="35" t="n">
        <v>2</v>
      </c>
      <c r="N51" s="35" t="n">
        <v>2</v>
      </c>
      <c r="O51" s="36" t="n">
        <v>0.925</v>
      </c>
      <c r="P51" s="35" t="n">
        <v>0</v>
      </c>
      <c r="Q51" s="35" t="n">
        <v>2</v>
      </c>
      <c r="R51" s="35" t="n">
        <v>3</v>
      </c>
      <c r="S51" s="35" t="n">
        <v>3</v>
      </c>
      <c r="T51" s="37" t="n">
        <v>0.912</v>
      </c>
      <c r="U51" s="38">
        <f>IFERROR([@InspDone]/[@InspPlanned],0)</f>
        <v/>
      </c>
      <c r="V51" s="38">
        <f>IFERROR([@ObsClosed]/[@ObsRaised],0)</f>
        <v/>
      </c>
    </row>
    <row r="52">
      <c r="A52" s="33" t="n">
        <v>45505</v>
      </c>
      <c r="B52" s="28">
        <f>YEAR([@Period])</f>
        <v/>
      </c>
      <c r="C52" s="28">
        <f>TEXT([@Period],"mmm")</f>
        <v/>
      </c>
      <c r="D52" s="30">
        <f>MONTH([@Period])</f>
        <v/>
      </c>
      <c r="E52" s="28" t="inlineStr">
        <is>
          <t>Assay Laboratory</t>
        </is>
      </c>
      <c r="F52" s="28" t="inlineStr">
        <is>
          <t>Laboratory</t>
        </is>
      </c>
      <c r="G52" s="28" t="inlineStr">
        <is>
          <t>SGS (Laboratory)</t>
        </is>
      </c>
      <c r="H52" s="34" t="n">
        <v>5125</v>
      </c>
      <c r="I52" s="35" t="n">
        <v>1</v>
      </c>
      <c r="J52" s="35" t="n">
        <v>1</v>
      </c>
      <c r="K52" s="35" t="n">
        <v>2</v>
      </c>
      <c r="L52" s="35" t="n">
        <v>2</v>
      </c>
      <c r="M52" s="35" t="n">
        <v>2</v>
      </c>
      <c r="N52" s="35" t="n">
        <v>2</v>
      </c>
      <c r="O52" s="36" t="n">
        <v>0.884</v>
      </c>
      <c r="P52" s="35" t="n">
        <v>0</v>
      </c>
      <c r="Q52" s="35" t="n">
        <v>1</v>
      </c>
      <c r="R52" s="35" t="n">
        <v>4</v>
      </c>
      <c r="S52" s="35" t="n">
        <v>4</v>
      </c>
      <c r="T52" s="37" t="n">
        <v>0.97</v>
      </c>
      <c r="U52" s="38">
        <f>IFERROR([@InspDone]/[@InspPlanned],0)</f>
        <v/>
      </c>
      <c r="V52" s="38">
        <f>IFERROR([@ObsClosed]/[@ObsRaised],0)</f>
        <v/>
      </c>
    </row>
    <row r="53">
      <c r="A53" s="33" t="n">
        <v>45505</v>
      </c>
      <c r="B53" s="28">
        <f>YEAR([@Period])</f>
        <v/>
      </c>
      <c r="C53" s="28">
        <f>TEXT([@Period],"mmm")</f>
        <v/>
      </c>
      <c r="D53" s="30">
        <f>MONTH([@Period])</f>
        <v/>
      </c>
      <c r="E53" s="28" t="inlineStr">
        <is>
          <t>HME Workshop</t>
        </is>
      </c>
      <c r="F53" s="28" t="inlineStr">
        <is>
          <t>Engineering</t>
        </is>
      </c>
      <c r="G53" s="28" t="inlineStr">
        <is>
          <t>Owner (Asanko)</t>
        </is>
      </c>
      <c r="H53" s="34" t="n">
        <v>10835</v>
      </c>
      <c r="I53" s="35" t="n">
        <v>6</v>
      </c>
      <c r="J53" s="35" t="n">
        <v>1</v>
      </c>
      <c r="K53" s="35" t="n">
        <v>3</v>
      </c>
      <c r="L53" s="35" t="n">
        <v>3</v>
      </c>
      <c r="M53" s="35" t="n">
        <v>3</v>
      </c>
      <c r="N53" s="35" t="n">
        <v>3</v>
      </c>
      <c r="O53" s="36" t="n">
        <v>0.885</v>
      </c>
      <c r="P53" s="35" t="n">
        <v>0</v>
      </c>
      <c r="Q53" s="35" t="n">
        <v>3</v>
      </c>
      <c r="R53" s="35" t="n">
        <v>9</v>
      </c>
      <c r="S53" s="35" t="n">
        <v>8</v>
      </c>
      <c r="T53" s="37" t="n">
        <v>0.903</v>
      </c>
      <c r="U53" s="38">
        <f>IFERROR([@InspDone]/[@InspPlanned],0)</f>
        <v/>
      </c>
      <c r="V53" s="38">
        <f>IFERROR([@ObsClosed]/[@ObsRaised],0)</f>
        <v/>
      </c>
    </row>
    <row r="54">
      <c r="A54" s="33" t="n">
        <v>45505</v>
      </c>
      <c r="B54" s="28">
        <f>YEAR([@Period])</f>
        <v/>
      </c>
      <c r="C54" s="28">
        <f>TEXT([@Period],"mmm")</f>
        <v/>
      </c>
      <c r="D54" s="30">
        <f>MONTH([@Period])</f>
        <v/>
      </c>
      <c r="E54" s="28" t="inlineStr">
        <is>
          <t>Fuel Farm</t>
        </is>
      </c>
      <c r="F54" s="28" t="inlineStr">
        <is>
          <t>Engineering</t>
        </is>
      </c>
      <c r="G54" s="28" t="inlineStr">
        <is>
          <t>Owner (Asanko)</t>
        </is>
      </c>
      <c r="H54" s="34" t="n">
        <v>2250</v>
      </c>
      <c r="I54" s="35" t="n">
        <v>1</v>
      </c>
      <c r="J54" s="35" t="n">
        <v>0</v>
      </c>
      <c r="K54" s="35" t="n">
        <v>0</v>
      </c>
      <c r="L54" s="35" t="n">
        <v>0</v>
      </c>
      <c r="M54" s="35" t="n">
        <v>2</v>
      </c>
      <c r="N54" s="35" t="n">
        <v>2</v>
      </c>
      <c r="O54" s="36" t="n">
        <v>0.967</v>
      </c>
      <c r="P54" s="35" t="n">
        <v>0</v>
      </c>
      <c r="Q54" s="35" t="n">
        <v>4</v>
      </c>
      <c r="R54" s="35" t="n">
        <v>3</v>
      </c>
      <c r="S54" s="35" t="n">
        <v>3</v>
      </c>
      <c r="T54" s="37" t="n">
        <v>0.972</v>
      </c>
      <c r="U54" s="38">
        <f>IFERROR([@InspDone]/[@InspPlanned],0)</f>
        <v/>
      </c>
      <c r="V54" s="38">
        <f>IFERROR([@ObsClosed]/[@ObsRaised],0)</f>
        <v/>
      </c>
    </row>
    <row r="55">
      <c r="A55" s="33" t="n">
        <v>45505</v>
      </c>
      <c r="B55" s="28">
        <f>YEAR([@Period])</f>
        <v/>
      </c>
      <c r="C55" s="28">
        <f>TEXT([@Period],"mmm")</f>
        <v/>
      </c>
      <c r="D55" s="30">
        <f>MONTH([@Period])</f>
        <v/>
      </c>
      <c r="E55" s="28" t="inlineStr">
        <is>
          <t>Power Station</t>
        </is>
      </c>
      <c r="F55" s="28" t="inlineStr">
        <is>
          <t>Engineering</t>
        </is>
      </c>
      <c r="G55" s="28" t="inlineStr">
        <is>
          <t>Genser (Power)</t>
        </is>
      </c>
      <c r="H55" s="34" t="n">
        <v>4752</v>
      </c>
      <c r="I55" s="35" t="n">
        <v>2</v>
      </c>
      <c r="J55" s="35" t="n">
        <v>1</v>
      </c>
      <c r="K55" s="35" t="n">
        <v>1</v>
      </c>
      <c r="L55" s="35" t="n">
        <v>1</v>
      </c>
      <c r="M55" s="35" t="n">
        <v>2</v>
      </c>
      <c r="N55" s="35" t="n">
        <v>2</v>
      </c>
      <c r="O55" s="36" t="n">
        <v>0.891</v>
      </c>
      <c r="P55" s="35" t="n">
        <v>1</v>
      </c>
      <c r="Q55" s="35" t="n">
        <v>1</v>
      </c>
      <c r="R55" s="35" t="n">
        <v>3</v>
      </c>
      <c r="S55" s="35" t="n">
        <v>3</v>
      </c>
      <c r="T55" s="37" t="n">
        <v>0.976</v>
      </c>
      <c r="U55" s="38">
        <f>IFERROR([@InspDone]/[@InspPlanned],0)</f>
        <v/>
      </c>
      <c r="V55" s="38">
        <f>IFERROR([@ObsClosed]/[@ObsRaised],0)</f>
        <v/>
      </c>
    </row>
    <row r="56">
      <c r="A56" s="33" t="n">
        <v>45505</v>
      </c>
      <c r="B56" s="28">
        <f>YEAR([@Period])</f>
        <v/>
      </c>
      <c r="C56" s="28">
        <f>TEXT([@Period],"mmm")</f>
        <v/>
      </c>
      <c r="D56" s="30">
        <f>MONTH([@Period])</f>
        <v/>
      </c>
      <c r="E56" s="28" t="inlineStr">
        <is>
          <t>Warehouse &amp; Stores</t>
        </is>
      </c>
      <c r="F56" s="28" t="inlineStr">
        <is>
          <t>Logistics</t>
        </is>
      </c>
      <c r="G56" s="28" t="inlineStr">
        <is>
          <t>Owner (Asanko)</t>
        </is>
      </c>
      <c r="H56" s="34" t="n">
        <v>5280</v>
      </c>
      <c r="I56" s="35" t="n">
        <v>1</v>
      </c>
      <c r="J56" s="35" t="n">
        <v>0</v>
      </c>
      <c r="K56" s="35" t="n">
        <v>1</v>
      </c>
      <c r="L56" s="35" t="n">
        <v>1</v>
      </c>
      <c r="M56" s="35" t="n">
        <v>2</v>
      </c>
      <c r="N56" s="35" t="n">
        <v>2</v>
      </c>
      <c r="O56" s="36" t="n">
        <v>0.925</v>
      </c>
      <c r="P56" s="35" t="n">
        <v>1</v>
      </c>
      <c r="Q56" s="35" t="n">
        <v>3</v>
      </c>
      <c r="R56" s="35" t="n">
        <v>4</v>
      </c>
      <c r="S56" s="35" t="n">
        <v>4</v>
      </c>
      <c r="T56" s="37" t="n">
        <v>0.919</v>
      </c>
      <c r="U56" s="38">
        <f>IFERROR([@InspDone]/[@InspPlanned],0)</f>
        <v/>
      </c>
      <c r="V56" s="38">
        <f>IFERROR([@ObsClosed]/[@ObsRaised],0)</f>
        <v/>
      </c>
    </row>
    <row r="57">
      <c r="A57" s="33" t="n">
        <v>45505</v>
      </c>
      <c r="B57" s="28">
        <f>YEAR([@Period])</f>
        <v/>
      </c>
      <c r="C57" s="28">
        <f>TEXT([@Period],"mmm")</f>
        <v/>
      </c>
      <c r="D57" s="30">
        <f>MONTH([@Period])</f>
        <v/>
      </c>
      <c r="E57" s="28" t="inlineStr">
        <is>
          <t>Administration</t>
        </is>
      </c>
      <c r="F57" s="28" t="inlineStr">
        <is>
          <t>Administration</t>
        </is>
      </c>
      <c r="G57" s="28" t="inlineStr">
        <is>
          <t>Owner (Asanko)</t>
        </is>
      </c>
      <c r="H57" s="34" t="n">
        <v>13020</v>
      </c>
      <c r="I57" s="35" t="n">
        <v>2</v>
      </c>
      <c r="J57" s="35" t="n">
        <v>1</v>
      </c>
      <c r="K57" s="35" t="n">
        <v>8</v>
      </c>
      <c r="L57" s="35" t="n">
        <v>7</v>
      </c>
      <c r="M57" s="35" t="n">
        <v>3</v>
      </c>
      <c r="N57" s="35" t="n">
        <v>3</v>
      </c>
      <c r="O57" s="36" t="n">
        <v>0.974</v>
      </c>
      <c r="P57" s="35" t="n">
        <v>1</v>
      </c>
      <c r="Q57" s="35" t="n">
        <v>6</v>
      </c>
      <c r="R57" s="35" t="n">
        <v>10</v>
      </c>
      <c r="S57" s="35" t="n">
        <v>10</v>
      </c>
      <c r="T57" s="37" t="n">
        <v>0.978</v>
      </c>
      <c r="U57" s="38">
        <f>IFERROR([@InspDone]/[@InspPlanned],0)</f>
        <v/>
      </c>
      <c r="V57" s="38">
        <f>IFERROR([@ObsClosed]/[@ObsRaised],0)</f>
        <v/>
      </c>
    </row>
    <row r="58">
      <c r="A58" s="33" t="n">
        <v>45505</v>
      </c>
      <c r="B58" s="28">
        <f>YEAR([@Period])</f>
        <v/>
      </c>
      <c r="C58" s="28">
        <f>TEXT([@Period],"mmm")</f>
        <v/>
      </c>
      <c r="D58" s="30">
        <f>MONTH([@Period])</f>
        <v/>
      </c>
      <c r="E58" s="28" t="inlineStr">
        <is>
          <t>Accommodation Camp</t>
        </is>
      </c>
      <c r="F58" s="28" t="inlineStr">
        <is>
          <t>Administration</t>
        </is>
      </c>
      <c r="G58" s="28" t="inlineStr">
        <is>
          <t>Catering Co (Camp)</t>
        </is>
      </c>
      <c r="H58" s="34" t="n">
        <v>5400</v>
      </c>
      <c r="I58" s="35" t="n">
        <v>1</v>
      </c>
      <c r="J58" s="35" t="n">
        <v>1</v>
      </c>
      <c r="K58" s="35" t="n">
        <v>3</v>
      </c>
      <c r="L58" s="35" t="n">
        <v>3</v>
      </c>
      <c r="M58" s="35" t="n">
        <v>2</v>
      </c>
      <c r="N58" s="35" t="n">
        <v>2</v>
      </c>
      <c r="O58" s="36" t="n">
        <v>0.931</v>
      </c>
      <c r="P58" s="35" t="n">
        <v>0</v>
      </c>
      <c r="Q58" s="35" t="n">
        <v>1</v>
      </c>
      <c r="R58" s="35" t="n">
        <v>5</v>
      </c>
      <c r="S58" s="35" t="n">
        <v>5</v>
      </c>
      <c r="T58" s="37" t="n">
        <v>0.9350000000000001</v>
      </c>
      <c r="U58" s="38">
        <f>IFERROR([@InspDone]/[@InspPlanned],0)</f>
        <v/>
      </c>
      <c r="V58" s="38">
        <f>IFERROR([@ObsClosed]/[@ObsRaised],0)</f>
        <v/>
      </c>
    </row>
    <row r="59">
      <c r="A59" s="33" t="n">
        <v>45505</v>
      </c>
      <c r="B59" s="28">
        <f>YEAR([@Period])</f>
        <v/>
      </c>
      <c r="C59" s="28">
        <f>TEXT([@Period],"mmm")</f>
        <v/>
      </c>
      <c r="D59" s="30">
        <f>MONTH([@Period])</f>
        <v/>
      </c>
      <c r="E59" s="28" t="inlineStr">
        <is>
          <t>Security Gatehouse</t>
        </is>
      </c>
      <c r="F59" s="28" t="inlineStr">
        <is>
          <t>Security</t>
        </is>
      </c>
      <c r="G59" s="28" t="inlineStr">
        <is>
          <t>G4S (Security)</t>
        </is>
      </c>
      <c r="H59" s="34" t="n">
        <v>8775</v>
      </c>
      <c r="I59" s="35" t="n">
        <v>2</v>
      </c>
      <c r="J59" s="35" t="n">
        <v>0</v>
      </c>
      <c r="K59" s="35" t="n">
        <v>5</v>
      </c>
      <c r="L59" s="35" t="n">
        <v>4</v>
      </c>
      <c r="M59" s="35" t="n">
        <v>2</v>
      </c>
      <c r="N59" s="35" t="n">
        <v>2</v>
      </c>
      <c r="O59" s="36" t="n">
        <v>0.909</v>
      </c>
      <c r="P59" s="35" t="n">
        <v>1</v>
      </c>
      <c r="Q59" s="35" t="n">
        <v>2</v>
      </c>
      <c r="R59" s="35" t="n">
        <v>7</v>
      </c>
      <c r="S59" s="35" t="n">
        <v>7</v>
      </c>
      <c r="T59" s="37" t="n">
        <v>0.921</v>
      </c>
      <c r="U59" s="38">
        <f>IFERROR([@InspDone]/[@InspPlanned],0)</f>
        <v/>
      </c>
      <c r="V59" s="38">
        <f>IFERROR([@ObsClosed]/[@ObsRaised],0)</f>
        <v/>
      </c>
    </row>
    <row r="60">
      <c r="A60" s="33" t="n">
        <v>45536</v>
      </c>
      <c r="B60" s="28">
        <f>YEAR([@Period])</f>
        <v/>
      </c>
      <c r="C60" s="28">
        <f>TEXT([@Period],"mmm")</f>
        <v/>
      </c>
      <c r="D60" s="30">
        <f>MONTH([@Period])</f>
        <v/>
      </c>
      <c r="E60" s="28" t="inlineStr">
        <is>
          <t>Nkran Open Pit</t>
        </is>
      </c>
      <c r="F60" s="28" t="inlineStr">
        <is>
          <t>Mining</t>
        </is>
      </c>
      <c r="G60" s="28" t="inlineStr">
        <is>
          <t>AUMS (Mining Contractor)</t>
        </is>
      </c>
      <c r="H60" s="34" t="n">
        <v>25080</v>
      </c>
      <c r="I60" s="35" t="n">
        <v>5</v>
      </c>
      <c r="J60" s="35" t="n">
        <v>3</v>
      </c>
      <c r="K60" s="35" t="n">
        <v>9</v>
      </c>
      <c r="L60" s="35" t="n">
        <v>8</v>
      </c>
      <c r="M60" s="35" t="n">
        <v>6</v>
      </c>
      <c r="N60" s="35" t="n">
        <v>5</v>
      </c>
      <c r="O60" s="36" t="n">
        <v>0.91</v>
      </c>
      <c r="P60" s="35" t="n">
        <v>1</v>
      </c>
      <c r="Q60" s="35" t="n">
        <v>13</v>
      </c>
      <c r="R60" s="35" t="n">
        <v>20</v>
      </c>
      <c r="S60" s="35" t="n">
        <v>19</v>
      </c>
      <c r="T60" s="37" t="n">
        <v>0.944</v>
      </c>
      <c r="U60" s="38">
        <f>IFERROR([@InspDone]/[@InspPlanned],0)</f>
        <v/>
      </c>
      <c r="V60" s="38">
        <f>IFERROR([@ObsClosed]/[@ObsRaised],0)</f>
        <v/>
      </c>
    </row>
    <row r="61">
      <c r="A61" s="33" t="n">
        <v>45536</v>
      </c>
      <c r="B61" s="28">
        <f>YEAR([@Period])</f>
        <v/>
      </c>
      <c r="C61" s="28">
        <f>TEXT([@Period],"mmm")</f>
        <v/>
      </c>
      <c r="D61" s="30">
        <f>MONTH([@Period])</f>
        <v/>
      </c>
      <c r="E61" s="28" t="inlineStr">
        <is>
          <t>Esaase Open Pit</t>
        </is>
      </c>
      <c r="F61" s="28" t="inlineStr">
        <is>
          <t>Mining</t>
        </is>
      </c>
      <c r="G61" s="28" t="inlineStr">
        <is>
          <t>AUMS (Mining Contractor)</t>
        </is>
      </c>
      <c r="H61" s="34" t="n">
        <v>25190</v>
      </c>
      <c r="I61" s="35" t="n">
        <v>6</v>
      </c>
      <c r="J61" s="35" t="n">
        <v>4</v>
      </c>
      <c r="K61" s="35" t="n">
        <v>12</v>
      </c>
      <c r="L61" s="35" t="n">
        <v>10</v>
      </c>
      <c r="M61" s="35" t="n">
        <v>6</v>
      </c>
      <c r="N61" s="35" t="n">
        <v>6</v>
      </c>
      <c r="O61" s="36" t="n">
        <v>0.955</v>
      </c>
      <c r="P61" s="35" t="n">
        <v>1</v>
      </c>
      <c r="Q61" s="35" t="n">
        <v>10</v>
      </c>
      <c r="R61" s="35" t="n">
        <v>18</v>
      </c>
      <c r="S61" s="35" t="n">
        <v>17</v>
      </c>
      <c r="T61" s="37" t="n">
        <v>0.964</v>
      </c>
      <c r="U61" s="38">
        <f>IFERROR([@InspDone]/[@InspPlanned],0)</f>
        <v/>
      </c>
      <c r="V61" s="38">
        <f>IFERROR([@ObsClosed]/[@ObsRaised],0)</f>
        <v/>
      </c>
    </row>
    <row r="62">
      <c r="A62" s="33" t="n">
        <v>45536</v>
      </c>
      <c r="B62" s="28">
        <f>YEAR([@Period])</f>
        <v/>
      </c>
      <c r="C62" s="28">
        <f>TEXT([@Period],"mmm")</f>
        <v/>
      </c>
      <c r="D62" s="30">
        <f>MONTH([@Period])</f>
        <v/>
      </c>
      <c r="E62" s="28" t="inlineStr">
        <is>
          <t>Drill &amp; Blast</t>
        </is>
      </c>
      <c r="F62" s="28" t="inlineStr">
        <is>
          <t>Mining</t>
        </is>
      </c>
      <c r="G62" s="28" t="inlineStr">
        <is>
          <t>Maxam (Blasting)</t>
        </is>
      </c>
      <c r="H62" s="34" t="n">
        <v>7800</v>
      </c>
      <c r="I62" s="35" t="n">
        <v>0</v>
      </c>
      <c r="J62" s="35" t="n">
        <v>2</v>
      </c>
      <c r="K62" s="35" t="n">
        <v>5</v>
      </c>
      <c r="L62" s="35" t="n">
        <v>4</v>
      </c>
      <c r="M62" s="35" t="n">
        <v>2</v>
      </c>
      <c r="N62" s="35" t="n">
        <v>2</v>
      </c>
      <c r="O62" s="36" t="n">
        <v>0.885</v>
      </c>
      <c r="P62" s="35" t="n">
        <v>0</v>
      </c>
      <c r="Q62" s="35" t="n">
        <v>0</v>
      </c>
      <c r="R62" s="35" t="n">
        <v>6</v>
      </c>
      <c r="S62" s="35" t="n">
        <v>6</v>
      </c>
      <c r="T62" s="37" t="n">
        <v>0.994</v>
      </c>
      <c r="U62" s="38">
        <f>IFERROR([@InspDone]/[@InspPlanned],0)</f>
        <v/>
      </c>
      <c r="V62" s="38">
        <f>IFERROR([@ObsClosed]/[@ObsRaised],0)</f>
        <v/>
      </c>
    </row>
    <row r="63">
      <c r="A63" s="33" t="n">
        <v>45536</v>
      </c>
      <c r="B63" s="28">
        <f>YEAR([@Period])</f>
        <v/>
      </c>
      <c r="C63" s="28">
        <f>TEXT([@Period],"mmm")</f>
        <v/>
      </c>
      <c r="D63" s="30">
        <f>MONTH([@Period])</f>
        <v/>
      </c>
      <c r="E63" s="28" t="inlineStr">
        <is>
          <t>Haul Roads</t>
        </is>
      </c>
      <c r="F63" s="28" t="inlineStr">
        <is>
          <t>Mining</t>
        </is>
      </c>
      <c r="G63" s="28" t="inlineStr">
        <is>
          <t>AUMS (Mining Contractor)</t>
        </is>
      </c>
      <c r="H63" s="34" t="n">
        <v>11700</v>
      </c>
      <c r="I63" s="35" t="n">
        <v>3</v>
      </c>
      <c r="J63" s="35" t="n">
        <v>2</v>
      </c>
      <c r="K63" s="35" t="n">
        <v>4</v>
      </c>
      <c r="L63" s="35" t="n">
        <v>3</v>
      </c>
      <c r="M63" s="35" t="n">
        <v>3</v>
      </c>
      <c r="N63" s="35" t="n">
        <v>3</v>
      </c>
      <c r="O63" s="36" t="n">
        <v>0.9</v>
      </c>
      <c r="P63" s="35" t="n">
        <v>1</v>
      </c>
      <c r="Q63" s="35" t="n">
        <v>4</v>
      </c>
      <c r="R63" s="35" t="n">
        <v>10</v>
      </c>
      <c r="S63" s="35" t="n">
        <v>9</v>
      </c>
      <c r="T63" s="37" t="n">
        <v>0.89</v>
      </c>
      <c r="U63" s="38">
        <f>IFERROR([@InspDone]/[@InspPlanned],0)</f>
        <v/>
      </c>
      <c r="V63" s="38">
        <f>IFERROR([@ObsClosed]/[@ObsRaised],0)</f>
        <v/>
      </c>
    </row>
    <row r="64">
      <c r="A64" s="33" t="n">
        <v>45536</v>
      </c>
      <c r="B64" s="28">
        <f>YEAR([@Period])</f>
        <v/>
      </c>
      <c r="C64" s="28">
        <f>TEXT([@Period],"mmm")</f>
        <v/>
      </c>
      <c r="D64" s="30">
        <f>MONTH([@Period])</f>
        <v/>
      </c>
      <c r="E64" s="28" t="inlineStr">
        <is>
          <t>Explosives Magazine</t>
        </is>
      </c>
      <c r="F64" s="28" t="inlineStr">
        <is>
          <t>Mining</t>
        </is>
      </c>
      <c r="G64" s="28" t="inlineStr">
        <is>
          <t>Maxam (Blasting)</t>
        </is>
      </c>
      <c r="H64" s="34" t="n">
        <v>2910</v>
      </c>
      <c r="I64" s="35" t="n">
        <v>1</v>
      </c>
      <c r="J64" s="35" t="n">
        <v>0</v>
      </c>
      <c r="K64" s="35" t="n">
        <v>3</v>
      </c>
      <c r="L64" s="35" t="n">
        <v>3</v>
      </c>
      <c r="M64" s="35" t="n">
        <v>2</v>
      </c>
      <c r="N64" s="35" t="n">
        <v>2</v>
      </c>
      <c r="O64" s="36" t="n">
        <v>0.929</v>
      </c>
      <c r="P64" s="35" t="n">
        <v>0</v>
      </c>
      <c r="Q64" s="35" t="n">
        <v>3</v>
      </c>
      <c r="R64" s="35" t="n">
        <v>3</v>
      </c>
      <c r="S64" s="35" t="n">
        <v>3</v>
      </c>
      <c r="T64" s="37" t="n">
        <v>0.9</v>
      </c>
      <c r="U64" s="38">
        <f>IFERROR([@InspDone]/[@InspPlanned],0)</f>
        <v/>
      </c>
      <c r="V64" s="38">
        <f>IFERROR([@ObsClosed]/[@ObsRaised],0)</f>
        <v/>
      </c>
    </row>
    <row r="65">
      <c r="A65" s="33" t="n">
        <v>45536</v>
      </c>
      <c r="B65" s="28">
        <f>YEAR([@Period])</f>
        <v/>
      </c>
      <c r="C65" s="28">
        <f>TEXT([@Period],"mmm")</f>
        <v/>
      </c>
      <c r="D65" s="30">
        <f>MONTH([@Period])</f>
        <v/>
      </c>
      <c r="E65" s="28" t="inlineStr">
        <is>
          <t>Crushing Circuit</t>
        </is>
      </c>
      <c r="F65" s="28" t="inlineStr">
        <is>
          <t>Processing</t>
        </is>
      </c>
      <c r="G65" s="28" t="inlineStr">
        <is>
          <t>Owner (Asanko)</t>
        </is>
      </c>
      <c r="H65" s="34" t="n">
        <v>7490</v>
      </c>
      <c r="I65" s="35" t="n">
        <v>2</v>
      </c>
      <c r="J65" s="35" t="n">
        <v>0</v>
      </c>
      <c r="K65" s="35" t="n">
        <v>3</v>
      </c>
      <c r="L65" s="35" t="n">
        <v>2</v>
      </c>
      <c r="M65" s="35" t="n">
        <v>2</v>
      </c>
      <c r="N65" s="35" t="n">
        <v>2</v>
      </c>
      <c r="O65" s="36" t="n">
        <v>0.907</v>
      </c>
      <c r="P65" s="35" t="n">
        <v>0</v>
      </c>
      <c r="Q65" s="35" t="n">
        <v>6</v>
      </c>
      <c r="R65" s="35" t="n">
        <v>5</v>
      </c>
      <c r="S65" s="35" t="n">
        <v>5</v>
      </c>
      <c r="T65" s="37" t="n">
        <v>0.886</v>
      </c>
      <c r="U65" s="38">
        <f>IFERROR([@InspDone]/[@InspPlanned],0)</f>
        <v/>
      </c>
      <c r="V65" s="38">
        <f>IFERROR([@ObsClosed]/[@ObsRaised],0)</f>
        <v/>
      </c>
    </row>
    <row r="66">
      <c r="A66" s="33" t="n">
        <v>45536</v>
      </c>
      <c r="B66" s="28">
        <f>YEAR([@Period])</f>
        <v/>
      </c>
      <c r="C66" s="28">
        <f>TEXT([@Period],"mmm")</f>
        <v/>
      </c>
      <c r="D66" s="30">
        <f>MONTH([@Period])</f>
        <v/>
      </c>
      <c r="E66" s="28" t="inlineStr">
        <is>
          <t>Processing Plant (CIL)</t>
        </is>
      </c>
      <c r="F66" s="28" t="inlineStr">
        <is>
          <t>Processing</t>
        </is>
      </c>
      <c r="G66" s="28" t="inlineStr">
        <is>
          <t>Owner (Asanko)</t>
        </is>
      </c>
      <c r="H66" s="34" t="n">
        <v>17460</v>
      </c>
      <c r="I66" s="35" t="n">
        <v>5</v>
      </c>
      <c r="J66" s="35" t="n">
        <v>3</v>
      </c>
      <c r="K66" s="35" t="n">
        <v>8</v>
      </c>
      <c r="L66" s="35" t="n">
        <v>6</v>
      </c>
      <c r="M66" s="35" t="n">
        <v>5</v>
      </c>
      <c r="N66" s="35" t="n">
        <v>4</v>
      </c>
      <c r="O66" s="36" t="n">
        <v>0.885</v>
      </c>
      <c r="P66" s="35" t="n">
        <v>0</v>
      </c>
      <c r="Q66" s="35" t="n">
        <v>8</v>
      </c>
      <c r="R66" s="35" t="n">
        <v>15</v>
      </c>
      <c r="S66" s="35" t="n">
        <v>14</v>
      </c>
      <c r="T66" s="37" t="n">
        <v>0.999</v>
      </c>
      <c r="U66" s="38">
        <f>IFERROR([@InspDone]/[@InspPlanned],0)</f>
        <v/>
      </c>
      <c r="V66" s="38">
        <f>IFERROR([@ObsClosed]/[@ObsRaised],0)</f>
        <v/>
      </c>
    </row>
    <row r="67">
      <c r="A67" s="33" t="n">
        <v>45536</v>
      </c>
      <c r="B67" s="28">
        <f>YEAR([@Period])</f>
        <v/>
      </c>
      <c r="C67" s="28">
        <f>TEXT([@Period],"mmm")</f>
        <v/>
      </c>
      <c r="D67" s="30">
        <f>MONTH([@Period])</f>
        <v/>
      </c>
      <c r="E67" s="28" t="inlineStr">
        <is>
          <t>Elution &amp; Gold Room</t>
        </is>
      </c>
      <c r="F67" s="28" t="inlineStr">
        <is>
          <t>Processing</t>
        </is>
      </c>
      <c r="G67" s="28" t="inlineStr">
        <is>
          <t>Owner (Asanko)</t>
        </is>
      </c>
      <c r="H67" s="34" t="n">
        <v>4560</v>
      </c>
      <c r="I67" s="35" t="n">
        <v>0</v>
      </c>
      <c r="J67" s="35" t="n">
        <v>0</v>
      </c>
      <c r="K67" s="35" t="n">
        <v>6</v>
      </c>
      <c r="L67" s="35" t="n">
        <v>5</v>
      </c>
      <c r="M67" s="35" t="n">
        <v>2</v>
      </c>
      <c r="N67" s="35" t="n">
        <v>2</v>
      </c>
      <c r="O67" s="36" t="n">
        <v>0.918</v>
      </c>
      <c r="P67" s="35" t="n">
        <v>0</v>
      </c>
      <c r="Q67" s="35" t="n">
        <v>5</v>
      </c>
      <c r="R67" s="35" t="n">
        <v>3</v>
      </c>
      <c r="S67" s="35" t="n">
        <v>3</v>
      </c>
      <c r="T67" s="37" t="n">
        <v>0.908</v>
      </c>
      <c r="U67" s="38">
        <f>IFERROR([@InspDone]/[@InspPlanned],0)</f>
        <v/>
      </c>
      <c r="V67" s="38">
        <f>IFERROR([@ObsClosed]/[@ObsRaised],0)</f>
        <v/>
      </c>
    </row>
    <row r="68">
      <c r="A68" s="33" t="n">
        <v>45536</v>
      </c>
      <c r="B68" s="28">
        <f>YEAR([@Period])</f>
        <v/>
      </c>
      <c r="C68" s="28">
        <f>TEXT([@Period],"mmm")</f>
        <v/>
      </c>
      <c r="D68" s="30">
        <f>MONTH([@Period])</f>
        <v/>
      </c>
      <c r="E68" s="28" t="inlineStr">
        <is>
          <t>Tailings Storage Facility</t>
        </is>
      </c>
      <c r="F68" s="28" t="inlineStr">
        <is>
          <t>Environment</t>
        </is>
      </c>
      <c r="G68" s="28" t="inlineStr">
        <is>
          <t>Owner (Asanko)</t>
        </is>
      </c>
      <c r="H68" s="34" t="n">
        <v>4104</v>
      </c>
      <c r="I68" s="35" t="n">
        <v>0</v>
      </c>
      <c r="J68" s="35" t="n">
        <v>1</v>
      </c>
      <c r="K68" s="35" t="n">
        <v>2</v>
      </c>
      <c r="L68" s="35" t="n">
        <v>2</v>
      </c>
      <c r="M68" s="35" t="n">
        <v>2</v>
      </c>
      <c r="N68" s="35" t="n">
        <v>2</v>
      </c>
      <c r="O68" s="36" t="n">
        <v>0.888</v>
      </c>
      <c r="P68" s="35" t="n">
        <v>1</v>
      </c>
      <c r="Q68" s="35" t="n">
        <v>5</v>
      </c>
      <c r="R68" s="35" t="n">
        <v>3</v>
      </c>
      <c r="S68" s="35" t="n">
        <v>3</v>
      </c>
      <c r="T68" s="37" t="n">
        <v>0.964</v>
      </c>
      <c r="U68" s="38">
        <f>IFERROR([@InspDone]/[@InspPlanned],0)</f>
        <v/>
      </c>
      <c r="V68" s="38">
        <f>IFERROR([@ObsClosed]/[@ObsRaised],0)</f>
        <v/>
      </c>
    </row>
    <row r="69">
      <c r="A69" s="33" t="n">
        <v>45536</v>
      </c>
      <c r="B69" s="28">
        <f>YEAR([@Period])</f>
        <v/>
      </c>
      <c r="C69" s="28">
        <f>TEXT([@Period],"mmm")</f>
        <v/>
      </c>
      <c r="D69" s="30">
        <f>MONTH([@Period])</f>
        <v/>
      </c>
      <c r="E69" s="28" t="inlineStr">
        <is>
          <t>Water Treatment</t>
        </is>
      </c>
      <c r="F69" s="28" t="inlineStr">
        <is>
          <t>Environment</t>
        </is>
      </c>
      <c r="G69" s="28" t="inlineStr">
        <is>
          <t>Owner (Asanko)</t>
        </is>
      </c>
      <c r="H69" s="34" t="n">
        <v>2268</v>
      </c>
      <c r="I69" s="35" t="n">
        <v>2</v>
      </c>
      <c r="J69" s="35" t="n">
        <v>2</v>
      </c>
      <c r="K69" s="35" t="n">
        <v>1</v>
      </c>
      <c r="L69" s="35" t="n">
        <v>1</v>
      </c>
      <c r="M69" s="35" t="n">
        <v>2</v>
      </c>
      <c r="N69" s="35" t="n">
        <v>2</v>
      </c>
      <c r="O69" s="36" t="n">
        <v>0.886</v>
      </c>
      <c r="P69" s="35" t="n">
        <v>1</v>
      </c>
      <c r="Q69" s="35" t="n">
        <v>3</v>
      </c>
      <c r="R69" s="35" t="n">
        <v>3</v>
      </c>
      <c r="S69" s="35" t="n">
        <v>3</v>
      </c>
      <c r="T69" s="37" t="n">
        <v>0.957</v>
      </c>
      <c r="U69" s="38">
        <f>IFERROR([@InspDone]/[@InspPlanned],0)</f>
        <v/>
      </c>
      <c r="V69" s="38">
        <f>IFERROR([@ObsClosed]/[@ObsRaised],0)</f>
        <v/>
      </c>
    </row>
    <row r="70">
      <c r="A70" s="33" t="n">
        <v>45536</v>
      </c>
      <c r="B70" s="28">
        <f>YEAR([@Period])</f>
        <v/>
      </c>
      <c r="C70" s="28">
        <f>TEXT([@Period],"mmm")</f>
        <v/>
      </c>
      <c r="D70" s="30">
        <f>MONTH([@Period])</f>
        <v/>
      </c>
      <c r="E70" s="28" t="inlineStr">
        <is>
          <t>Assay Laboratory</t>
        </is>
      </c>
      <c r="F70" s="28" t="inlineStr">
        <is>
          <t>Laboratory</t>
        </is>
      </c>
      <c r="G70" s="28" t="inlineStr">
        <is>
          <t>SGS (Laboratory)</t>
        </is>
      </c>
      <c r="H70" s="34" t="n">
        <v>4850</v>
      </c>
      <c r="I70" s="35" t="n">
        <v>2</v>
      </c>
      <c r="J70" s="35" t="n">
        <v>0</v>
      </c>
      <c r="K70" s="35" t="n">
        <v>3</v>
      </c>
      <c r="L70" s="35" t="n">
        <v>2</v>
      </c>
      <c r="M70" s="35" t="n">
        <v>2</v>
      </c>
      <c r="N70" s="35" t="n">
        <v>2</v>
      </c>
      <c r="O70" s="36" t="n">
        <v>0.905</v>
      </c>
      <c r="P70" s="35" t="n">
        <v>1</v>
      </c>
      <c r="Q70" s="35" t="n">
        <v>4</v>
      </c>
      <c r="R70" s="35" t="n">
        <v>4</v>
      </c>
      <c r="S70" s="35" t="n">
        <v>4</v>
      </c>
      <c r="T70" s="37" t="n">
        <v>0.984</v>
      </c>
      <c r="U70" s="38">
        <f>IFERROR([@InspDone]/[@InspPlanned],0)</f>
        <v/>
      </c>
      <c r="V70" s="38">
        <f>IFERROR([@ObsClosed]/[@ObsRaised],0)</f>
        <v/>
      </c>
    </row>
    <row r="71">
      <c r="A71" s="33" t="n">
        <v>45536</v>
      </c>
      <c r="B71" s="28">
        <f>YEAR([@Period])</f>
        <v/>
      </c>
      <c r="C71" s="28">
        <f>TEXT([@Period],"mmm")</f>
        <v/>
      </c>
      <c r="D71" s="30">
        <f>MONTH([@Period])</f>
        <v/>
      </c>
      <c r="E71" s="28" t="inlineStr">
        <is>
          <t>HME Workshop</t>
        </is>
      </c>
      <c r="F71" s="28" t="inlineStr">
        <is>
          <t>Engineering</t>
        </is>
      </c>
      <c r="G71" s="28" t="inlineStr">
        <is>
          <t>Owner (Asanko)</t>
        </is>
      </c>
      <c r="H71" s="34" t="n">
        <v>9955</v>
      </c>
      <c r="I71" s="35" t="n">
        <v>2</v>
      </c>
      <c r="J71" s="35" t="n">
        <v>0</v>
      </c>
      <c r="K71" s="35" t="n">
        <v>4</v>
      </c>
      <c r="L71" s="35" t="n">
        <v>3</v>
      </c>
      <c r="M71" s="35" t="n">
        <v>3</v>
      </c>
      <c r="N71" s="35" t="n">
        <v>3</v>
      </c>
      <c r="O71" s="36" t="n">
        <v>0.974</v>
      </c>
      <c r="P71" s="35" t="n">
        <v>1</v>
      </c>
      <c r="Q71" s="35" t="n">
        <v>7</v>
      </c>
      <c r="R71" s="35" t="n">
        <v>9</v>
      </c>
      <c r="S71" s="35" t="n">
        <v>9</v>
      </c>
      <c r="T71" s="37" t="n">
        <v>0.986</v>
      </c>
      <c r="U71" s="38">
        <f>IFERROR([@InspDone]/[@InspPlanned],0)</f>
        <v/>
      </c>
      <c r="V71" s="38">
        <f>IFERROR([@ObsClosed]/[@ObsRaised],0)</f>
        <v/>
      </c>
    </row>
    <row r="72">
      <c r="A72" s="33" t="n">
        <v>45536</v>
      </c>
      <c r="B72" s="28">
        <f>YEAR([@Period])</f>
        <v/>
      </c>
      <c r="C72" s="28">
        <f>TEXT([@Period],"mmm")</f>
        <v/>
      </c>
      <c r="D72" s="30">
        <f>MONTH([@Period])</f>
        <v/>
      </c>
      <c r="E72" s="28" t="inlineStr">
        <is>
          <t>Fuel Farm</t>
        </is>
      </c>
      <c r="F72" s="28" t="inlineStr">
        <is>
          <t>Engineering</t>
        </is>
      </c>
      <c r="G72" s="28" t="inlineStr">
        <is>
          <t>Owner (Asanko)</t>
        </is>
      </c>
      <c r="H72" s="34" t="n">
        <v>2120</v>
      </c>
      <c r="I72" s="35" t="n">
        <v>1</v>
      </c>
      <c r="J72" s="35" t="n">
        <v>2</v>
      </c>
      <c r="K72" s="35" t="n">
        <v>4</v>
      </c>
      <c r="L72" s="35" t="n">
        <v>4</v>
      </c>
      <c r="M72" s="35" t="n">
        <v>2</v>
      </c>
      <c r="N72" s="35" t="n">
        <v>2</v>
      </c>
      <c r="O72" s="36" t="n">
        <v>0.9409999999999999</v>
      </c>
      <c r="P72" s="35" t="n">
        <v>1</v>
      </c>
      <c r="Q72" s="35" t="n">
        <v>2</v>
      </c>
      <c r="R72" s="35" t="n">
        <v>3</v>
      </c>
      <c r="S72" s="35" t="n">
        <v>3</v>
      </c>
      <c r="T72" s="37" t="n">
        <v>0.892</v>
      </c>
      <c r="U72" s="38">
        <f>IFERROR([@InspDone]/[@InspPlanned],0)</f>
        <v/>
      </c>
      <c r="V72" s="38">
        <f>IFERROR([@ObsClosed]/[@ObsRaised],0)</f>
        <v/>
      </c>
    </row>
    <row r="73">
      <c r="A73" s="33" t="n">
        <v>45536</v>
      </c>
      <c r="B73" s="28">
        <f>YEAR([@Period])</f>
        <v/>
      </c>
      <c r="C73" s="28">
        <f>TEXT([@Period],"mmm")</f>
        <v/>
      </c>
      <c r="D73" s="30">
        <f>MONTH([@Period])</f>
        <v/>
      </c>
      <c r="E73" s="28" t="inlineStr">
        <is>
          <t>Power Station</t>
        </is>
      </c>
      <c r="F73" s="28" t="inlineStr">
        <is>
          <t>Engineering</t>
        </is>
      </c>
      <c r="G73" s="28" t="inlineStr">
        <is>
          <t>Genser (Power)</t>
        </is>
      </c>
      <c r="H73" s="34" t="n">
        <v>4730</v>
      </c>
      <c r="I73" s="35" t="n">
        <v>1</v>
      </c>
      <c r="J73" s="35" t="n">
        <v>0</v>
      </c>
      <c r="K73" s="35" t="n">
        <v>1</v>
      </c>
      <c r="L73" s="35" t="n">
        <v>1</v>
      </c>
      <c r="M73" s="35" t="n">
        <v>2</v>
      </c>
      <c r="N73" s="35" t="n">
        <v>2</v>
      </c>
      <c r="O73" s="36" t="n">
        <v>0.922</v>
      </c>
      <c r="P73" s="35" t="n">
        <v>0</v>
      </c>
      <c r="Q73" s="35" t="n">
        <v>2</v>
      </c>
      <c r="R73" s="35" t="n">
        <v>3</v>
      </c>
      <c r="S73" s="35" t="n">
        <v>3</v>
      </c>
      <c r="T73" s="37" t="n">
        <v>0.988</v>
      </c>
      <c r="U73" s="38">
        <f>IFERROR([@InspDone]/[@InspPlanned],0)</f>
        <v/>
      </c>
      <c r="V73" s="38">
        <f>IFERROR([@ObsClosed]/[@ObsRaised],0)</f>
        <v/>
      </c>
    </row>
    <row r="74">
      <c r="A74" s="33" t="n">
        <v>45536</v>
      </c>
      <c r="B74" s="28">
        <f>YEAR([@Period])</f>
        <v/>
      </c>
      <c r="C74" s="28">
        <f>TEXT([@Period],"mmm")</f>
        <v/>
      </c>
      <c r="D74" s="30">
        <f>MONTH([@Period])</f>
        <v/>
      </c>
      <c r="E74" s="28" t="inlineStr">
        <is>
          <t>Warehouse &amp; Stores</t>
        </is>
      </c>
      <c r="F74" s="28" t="inlineStr">
        <is>
          <t>Logistics</t>
        </is>
      </c>
      <c r="G74" s="28" t="inlineStr">
        <is>
          <t>Owner (Asanko)</t>
        </is>
      </c>
      <c r="H74" s="34" t="n">
        <v>5448</v>
      </c>
      <c r="I74" s="35" t="n">
        <v>2</v>
      </c>
      <c r="J74" s="35" t="n">
        <v>1</v>
      </c>
      <c r="K74" s="35" t="n">
        <v>4</v>
      </c>
      <c r="L74" s="35" t="n">
        <v>3</v>
      </c>
      <c r="M74" s="35" t="n">
        <v>2</v>
      </c>
      <c r="N74" s="35" t="n">
        <v>2</v>
      </c>
      <c r="O74" s="36" t="n">
        <v>0.93</v>
      </c>
      <c r="P74" s="35" t="n">
        <v>1</v>
      </c>
      <c r="Q74" s="35" t="n">
        <v>1</v>
      </c>
      <c r="R74" s="35" t="n">
        <v>4</v>
      </c>
      <c r="S74" s="35" t="n">
        <v>4</v>
      </c>
      <c r="T74" s="37" t="n">
        <v>0.925</v>
      </c>
      <c r="U74" s="38">
        <f>IFERROR([@InspDone]/[@InspPlanned],0)</f>
        <v/>
      </c>
      <c r="V74" s="38">
        <f>IFERROR([@ObsClosed]/[@ObsRaised],0)</f>
        <v/>
      </c>
    </row>
    <row r="75">
      <c r="A75" s="33" t="n">
        <v>45536</v>
      </c>
      <c r="B75" s="28">
        <f>YEAR([@Period])</f>
        <v/>
      </c>
      <c r="C75" s="28">
        <f>TEXT([@Period],"mmm")</f>
        <v/>
      </c>
      <c r="D75" s="30">
        <f>MONTH([@Period])</f>
        <v/>
      </c>
      <c r="E75" s="28" t="inlineStr">
        <is>
          <t>Administration</t>
        </is>
      </c>
      <c r="F75" s="28" t="inlineStr">
        <is>
          <t>Administration</t>
        </is>
      </c>
      <c r="G75" s="28" t="inlineStr">
        <is>
          <t>Owner (Asanko)</t>
        </is>
      </c>
      <c r="H75" s="34" t="n">
        <v>10920</v>
      </c>
      <c r="I75" s="35" t="n">
        <v>1</v>
      </c>
      <c r="J75" s="35" t="n">
        <v>2</v>
      </c>
      <c r="K75" s="35" t="n">
        <v>4</v>
      </c>
      <c r="L75" s="35" t="n">
        <v>3</v>
      </c>
      <c r="M75" s="35" t="n">
        <v>3</v>
      </c>
      <c r="N75" s="35" t="n">
        <v>3</v>
      </c>
      <c r="O75" s="36" t="n">
        <v>0.884</v>
      </c>
      <c r="P75" s="35" t="n">
        <v>1</v>
      </c>
      <c r="Q75" s="35" t="n">
        <v>6</v>
      </c>
      <c r="R75" s="35" t="n">
        <v>10</v>
      </c>
      <c r="S75" s="35" t="n">
        <v>9</v>
      </c>
      <c r="T75" s="37" t="n">
        <v>0.959</v>
      </c>
      <c r="U75" s="38">
        <f>IFERROR([@InspDone]/[@InspPlanned],0)</f>
        <v/>
      </c>
      <c r="V75" s="38">
        <f>IFERROR([@ObsClosed]/[@ObsRaised],0)</f>
        <v/>
      </c>
    </row>
    <row r="76">
      <c r="A76" s="33" t="n">
        <v>45536</v>
      </c>
      <c r="B76" s="28">
        <f>YEAR([@Period])</f>
        <v/>
      </c>
      <c r="C76" s="28">
        <f>TEXT([@Period],"mmm")</f>
        <v/>
      </c>
      <c r="D76" s="30">
        <f>MONTH([@Period])</f>
        <v/>
      </c>
      <c r="E76" s="28" t="inlineStr">
        <is>
          <t>Accommodation Camp</t>
        </is>
      </c>
      <c r="F76" s="28" t="inlineStr">
        <is>
          <t>Administration</t>
        </is>
      </c>
      <c r="G76" s="28" t="inlineStr">
        <is>
          <t>Catering Co (Camp)</t>
        </is>
      </c>
      <c r="H76" s="34" t="n">
        <v>5520</v>
      </c>
      <c r="I76" s="35" t="n">
        <v>0</v>
      </c>
      <c r="J76" s="35" t="n">
        <v>2</v>
      </c>
      <c r="K76" s="35" t="n">
        <v>4</v>
      </c>
      <c r="L76" s="35" t="n">
        <v>4</v>
      </c>
      <c r="M76" s="35" t="n">
        <v>2</v>
      </c>
      <c r="N76" s="35" t="n">
        <v>2</v>
      </c>
      <c r="O76" s="36" t="n">
        <v>0.976</v>
      </c>
      <c r="P76" s="35" t="n">
        <v>1</v>
      </c>
      <c r="Q76" s="35" t="n">
        <v>1</v>
      </c>
      <c r="R76" s="35" t="n">
        <v>5</v>
      </c>
      <c r="S76" s="35" t="n">
        <v>5</v>
      </c>
      <c r="T76" s="37" t="n">
        <v>0.9330000000000001</v>
      </c>
      <c r="U76" s="38">
        <f>IFERROR([@InspDone]/[@InspPlanned],0)</f>
        <v/>
      </c>
      <c r="V76" s="38">
        <f>IFERROR([@ObsClosed]/[@ObsRaised],0)</f>
        <v/>
      </c>
    </row>
    <row r="77">
      <c r="A77" s="33" t="n">
        <v>45536</v>
      </c>
      <c r="B77" s="28">
        <f>YEAR([@Period])</f>
        <v/>
      </c>
      <c r="C77" s="28">
        <f>TEXT([@Period],"mmm")</f>
        <v/>
      </c>
      <c r="D77" s="30">
        <f>MONTH([@Period])</f>
        <v/>
      </c>
      <c r="E77" s="28" t="inlineStr">
        <is>
          <t>Security Gatehouse</t>
        </is>
      </c>
      <c r="F77" s="28" t="inlineStr">
        <is>
          <t>Security</t>
        </is>
      </c>
      <c r="G77" s="28" t="inlineStr">
        <is>
          <t>G4S (Security)</t>
        </is>
      </c>
      <c r="H77" s="34" t="n">
        <v>10035</v>
      </c>
      <c r="I77" s="35" t="n">
        <v>1</v>
      </c>
      <c r="J77" s="35" t="n">
        <v>3</v>
      </c>
      <c r="K77" s="35" t="n">
        <v>3</v>
      </c>
      <c r="L77" s="35" t="n">
        <v>3</v>
      </c>
      <c r="M77" s="35" t="n">
        <v>2</v>
      </c>
      <c r="N77" s="35" t="n">
        <v>2</v>
      </c>
      <c r="O77" s="36" t="n">
        <v>0.989</v>
      </c>
      <c r="P77" s="35" t="n">
        <v>0</v>
      </c>
      <c r="Q77" s="35" t="n">
        <v>4</v>
      </c>
      <c r="R77" s="35" t="n">
        <v>7</v>
      </c>
      <c r="S77" s="35" t="n">
        <v>6</v>
      </c>
      <c r="T77" s="37" t="n">
        <v>0.954</v>
      </c>
      <c r="U77" s="38">
        <f>IFERROR([@InspDone]/[@InspPlanned],0)</f>
        <v/>
      </c>
      <c r="V77" s="38">
        <f>IFERROR([@ObsClosed]/[@ObsRaised],0)</f>
        <v/>
      </c>
    </row>
    <row r="78">
      <c r="A78" s="33" t="n">
        <v>45566</v>
      </c>
      <c r="B78" s="28">
        <f>YEAR([@Period])</f>
        <v/>
      </c>
      <c r="C78" s="28">
        <f>TEXT([@Period],"mmm")</f>
        <v/>
      </c>
      <c r="D78" s="30">
        <f>MONTH([@Period])</f>
        <v/>
      </c>
      <c r="E78" s="28" t="inlineStr">
        <is>
          <t>Nkran Open Pit</t>
        </is>
      </c>
      <c r="F78" s="28" t="inlineStr">
        <is>
          <t>Mining</t>
        </is>
      </c>
      <c r="G78" s="28" t="inlineStr">
        <is>
          <t>AUMS (Mining Contractor)</t>
        </is>
      </c>
      <c r="H78" s="34" t="n">
        <v>26400</v>
      </c>
      <c r="I78" s="35" t="n">
        <v>8</v>
      </c>
      <c r="J78" s="35" t="n">
        <v>9</v>
      </c>
      <c r="K78" s="35" t="n">
        <v>8</v>
      </c>
      <c r="L78" s="35" t="n">
        <v>6</v>
      </c>
      <c r="M78" s="35" t="n">
        <v>6</v>
      </c>
      <c r="N78" s="35" t="n">
        <v>5</v>
      </c>
      <c r="O78" s="36" t="n">
        <v>0.9370000000000001</v>
      </c>
      <c r="P78" s="35" t="n">
        <v>0</v>
      </c>
      <c r="Q78" s="35" t="n">
        <v>17</v>
      </c>
      <c r="R78" s="35" t="n">
        <v>20</v>
      </c>
      <c r="S78" s="35" t="n">
        <v>19</v>
      </c>
      <c r="T78" s="37" t="n">
        <v>0.931</v>
      </c>
      <c r="U78" s="38">
        <f>IFERROR([@InspDone]/[@InspPlanned],0)</f>
        <v/>
      </c>
      <c r="V78" s="38">
        <f>IFERROR([@ObsClosed]/[@ObsRaised],0)</f>
        <v/>
      </c>
    </row>
    <row r="79">
      <c r="A79" s="33" t="n">
        <v>45566</v>
      </c>
      <c r="B79" s="28">
        <f>YEAR([@Period])</f>
        <v/>
      </c>
      <c r="C79" s="28">
        <f>TEXT([@Period],"mmm")</f>
        <v/>
      </c>
      <c r="D79" s="30">
        <f>MONTH([@Period])</f>
        <v/>
      </c>
      <c r="E79" s="28" t="inlineStr">
        <is>
          <t>Esaase Open Pit</t>
        </is>
      </c>
      <c r="F79" s="28" t="inlineStr">
        <is>
          <t>Mining</t>
        </is>
      </c>
      <c r="G79" s="28" t="inlineStr">
        <is>
          <t>AUMS (Mining Contractor)</t>
        </is>
      </c>
      <c r="H79" s="34" t="n">
        <v>21120</v>
      </c>
      <c r="I79" s="35" t="n">
        <v>7</v>
      </c>
      <c r="J79" s="35" t="n">
        <v>11</v>
      </c>
      <c r="K79" s="35" t="n">
        <v>10</v>
      </c>
      <c r="L79" s="35" t="n">
        <v>9</v>
      </c>
      <c r="M79" s="35" t="n">
        <v>6</v>
      </c>
      <c r="N79" s="35" t="n">
        <v>6</v>
      </c>
      <c r="O79" s="36" t="n">
        <v>0.951</v>
      </c>
      <c r="P79" s="35" t="n">
        <v>0</v>
      </c>
      <c r="Q79" s="35" t="n">
        <v>10</v>
      </c>
      <c r="R79" s="35" t="n">
        <v>18</v>
      </c>
      <c r="S79" s="35" t="n">
        <v>17</v>
      </c>
      <c r="T79" s="37" t="n">
        <v>0.95</v>
      </c>
      <c r="U79" s="38">
        <f>IFERROR([@InspDone]/[@InspPlanned],0)</f>
        <v/>
      </c>
      <c r="V79" s="38">
        <f>IFERROR([@ObsClosed]/[@ObsRaised],0)</f>
        <v/>
      </c>
    </row>
    <row r="80">
      <c r="A80" s="33" t="n">
        <v>45566</v>
      </c>
      <c r="B80" s="28">
        <f>YEAR([@Period])</f>
        <v/>
      </c>
      <c r="C80" s="28">
        <f>TEXT([@Period],"mmm")</f>
        <v/>
      </c>
      <c r="D80" s="30">
        <f>MONTH([@Period])</f>
        <v/>
      </c>
      <c r="E80" s="28" t="inlineStr">
        <is>
          <t>Drill &amp; Blast</t>
        </is>
      </c>
      <c r="F80" s="28" t="inlineStr">
        <is>
          <t>Mining</t>
        </is>
      </c>
      <c r="G80" s="28" t="inlineStr">
        <is>
          <t>Maxam (Blasting)</t>
        </is>
      </c>
      <c r="H80" s="34" t="n">
        <v>7640</v>
      </c>
      <c r="I80" s="35" t="n">
        <v>3</v>
      </c>
      <c r="J80" s="35" t="n">
        <v>2</v>
      </c>
      <c r="K80" s="35" t="n">
        <v>3</v>
      </c>
      <c r="L80" s="35" t="n">
        <v>3</v>
      </c>
      <c r="M80" s="35" t="n">
        <v>2</v>
      </c>
      <c r="N80" s="35" t="n">
        <v>2</v>
      </c>
      <c r="O80" s="36" t="n">
        <v>0.9389999999999999</v>
      </c>
      <c r="P80" s="35" t="n">
        <v>1</v>
      </c>
      <c r="Q80" s="35" t="n">
        <v>7</v>
      </c>
      <c r="R80" s="35" t="n">
        <v>6</v>
      </c>
      <c r="S80" s="35" t="n">
        <v>6</v>
      </c>
      <c r="T80" s="37" t="n">
        <v>0.984</v>
      </c>
      <c r="U80" s="38">
        <f>IFERROR([@InspDone]/[@InspPlanned],0)</f>
        <v/>
      </c>
      <c r="V80" s="38">
        <f>IFERROR([@ObsClosed]/[@ObsRaised],0)</f>
        <v/>
      </c>
    </row>
    <row r="81">
      <c r="A81" s="33" t="n">
        <v>45566</v>
      </c>
      <c r="B81" s="28">
        <f>YEAR([@Period])</f>
        <v/>
      </c>
      <c r="C81" s="28">
        <f>TEXT([@Period],"mmm")</f>
        <v/>
      </c>
      <c r="D81" s="30">
        <f>MONTH([@Period])</f>
        <v/>
      </c>
      <c r="E81" s="28" t="inlineStr">
        <is>
          <t>Haul Roads</t>
        </is>
      </c>
      <c r="F81" s="28" t="inlineStr">
        <is>
          <t>Mining</t>
        </is>
      </c>
      <c r="G81" s="28" t="inlineStr">
        <is>
          <t>AUMS (Mining Contractor)</t>
        </is>
      </c>
      <c r="H81" s="34" t="n">
        <v>13320</v>
      </c>
      <c r="I81" s="35" t="n">
        <v>4</v>
      </c>
      <c r="J81" s="35" t="n">
        <v>2</v>
      </c>
      <c r="K81" s="35" t="n">
        <v>4</v>
      </c>
      <c r="L81" s="35" t="n">
        <v>4</v>
      </c>
      <c r="M81" s="35" t="n">
        <v>3</v>
      </c>
      <c r="N81" s="35" t="n">
        <v>3</v>
      </c>
      <c r="O81" s="36" t="n">
        <v>0.9379999999999999</v>
      </c>
      <c r="P81" s="35" t="n">
        <v>1</v>
      </c>
      <c r="Q81" s="35" t="n">
        <v>5</v>
      </c>
      <c r="R81" s="35" t="n">
        <v>10</v>
      </c>
      <c r="S81" s="35" t="n">
        <v>9</v>
      </c>
      <c r="T81" s="37" t="n">
        <v>0.9</v>
      </c>
      <c r="U81" s="38">
        <f>IFERROR([@InspDone]/[@InspPlanned],0)</f>
        <v/>
      </c>
      <c r="V81" s="38">
        <f>IFERROR([@ObsClosed]/[@ObsRaised],0)</f>
        <v/>
      </c>
    </row>
    <row r="82">
      <c r="A82" s="33" t="n">
        <v>45566</v>
      </c>
      <c r="B82" s="28">
        <f>YEAR([@Period])</f>
        <v/>
      </c>
      <c r="C82" s="28">
        <f>TEXT([@Period],"mmm")</f>
        <v/>
      </c>
      <c r="D82" s="30">
        <f>MONTH([@Period])</f>
        <v/>
      </c>
      <c r="E82" s="28" t="inlineStr">
        <is>
          <t>Explosives Magazine</t>
        </is>
      </c>
      <c r="F82" s="28" t="inlineStr">
        <is>
          <t>Mining</t>
        </is>
      </c>
      <c r="G82" s="28" t="inlineStr">
        <is>
          <t>Maxam (Blasting)</t>
        </is>
      </c>
      <c r="H82" s="34" t="n">
        <v>2880</v>
      </c>
      <c r="I82" s="35" t="n">
        <v>1</v>
      </c>
      <c r="J82" s="35" t="n">
        <v>1</v>
      </c>
      <c r="K82" s="35" t="n">
        <v>0</v>
      </c>
      <c r="L82" s="35" t="n">
        <v>0</v>
      </c>
      <c r="M82" s="35" t="n">
        <v>2</v>
      </c>
      <c r="N82" s="35" t="n">
        <v>2</v>
      </c>
      <c r="O82" s="36" t="n">
        <v>0.918</v>
      </c>
      <c r="P82" s="35" t="n">
        <v>1</v>
      </c>
      <c r="Q82" s="35" t="n">
        <v>1</v>
      </c>
      <c r="R82" s="35" t="n">
        <v>3</v>
      </c>
      <c r="S82" s="35" t="n">
        <v>3</v>
      </c>
      <c r="T82" s="37" t="n">
        <v>0.944</v>
      </c>
      <c r="U82" s="38">
        <f>IFERROR([@InspDone]/[@InspPlanned],0)</f>
        <v/>
      </c>
      <c r="V82" s="38">
        <f>IFERROR([@ObsClosed]/[@ObsRaised],0)</f>
        <v/>
      </c>
    </row>
    <row r="83">
      <c r="A83" s="33" t="n">
        <v>45566</v>
      </c>
      <c r="B83" s="28">
        <f>YEAR([@Period])</f>
        <v/>
      </c>
      <c r="C83" s="28">
        <f>TEXT([@Period],"mmm")</f>
        <v/>
      </c>
      <c r="D83" s="30">
        <f>MONTH([@Period])</f>
        <v/>
      </c>
      <c r="E83" s="28" t="inlineStr">
        <is>
          <t>Crushing Circuit</t>
        </is>
      </c>
      <c r="F83" s="28" t="inlineStr">
        <is>
          <t>Processing</t>
        </is>
      </c>
      <c r="G83" s="28" t="inlineStr">
        <is>
          <t>Owner (Asanko)</t>
        </is>
      </c>
      <c r="H83" s="34" t="n">
        <v>6720</v>
      </c>
      <c r="I83" s="35" t="n">
        <v>1</v>
      </c>
      <c r="J83" s="35" t="n">
        <v>1</v>
      </c>
      <c r="K83" s="35" t="n">
        <v>3</v>
      </c>
      <c r="L83" s="35" t="n">
        <v>2</v>
      </c>
      <c r="M83" s="35" t="n">
        <v>2</v>
      </c>
      <c r="N83" s="35" t="n">
        <v>2</v>
      </c>
      <c r="O83" s="36" t="n">
        <v>0.884</v>
      </c>
      <c r="P83" s="35" t="n">
        <v>1</v>
      </c>
      <c r="Q83" s="35" t="n">
        <v>3</v>
      </c>
      <c r="R83" s="35" t="n">
        <v>5</v>
      </c>
      <c r="S83" s="35" t="n">
        <v>5</v>
      </c>
      <c r="T83" s="37" t="n">
        <v>0.976</v>
      </c>
      <c r="U83" s="38">
        <f>IFERROR([@InspDone]/[@InspPlanned],0)</f>
        <v/>
      </c>
      <c r="V83" s="38">
        <f>IFERROR([@ObsClosed]/[@ObsRaised],0)</f>
        <v/>
      </c>
    </row>
    <row r="84">
      <c r="A84" s="33" t="n">
        <v>45566</v>
      </c>
      <c r="B84" s="28">
        <f>YEAR([@Period])</f>
        <v/>
      </c>
      <c r="C84" s="28">
        <f>TEXT([@Period],"mmm")</f>
        <v/>
      </c>
      <c r="D84" s="30">
        <f>MONTH([@Period])</f>
        <v/>
      </c>
      <c r="E84" s="28" t="inlineStr">
        <is>
          <t>Processing Plant (CIL)</t>
        </is>
      </c>
      <c r="F84" s="28" t="inlineStr">
        <is>
          <t>Processing</t>
        </is>
      </c>
      <c r="G84" s="28" t="inlineStr">
        <is>
          <t>Owner (Asanko)</t>
        </is>
      </c>
      <c r="H84" s="34" t="n">
        <v>20250</v>
      </c>
      <c r="I84" s="35" t="n">
        <v>5</v>
      </c>
      <c r="J84" s="35" t="n">
        <v>1</v>
      </c>
      <c r="K84" s="35" t="n">
        <v>10</v>
      </c>
      <c r="L84" s="35" t="n">
        <v>9</v>
      </c>
      <c r="M84" s="35" t="n">
        <v>5</v>
      </c>
      <c r="N84" s="35" t="n">
        <v>5</v>
      </c>
      <c r="O84" s="36" t="n">
        <v>0.91</v>
      </c>
      <c r="P84" s="35" t="n">
        <v>1</v>
      </c>
      <c r="Q84" s="35" t="n">
        <v>5</v>
      </c>
      <c r="R84" s="35" t="n">
        <v>15</v>
      </c>
      <c r="S84" s="35" t="n">
        <v>15</v>
      </c>
      <c r="T84" s="37" t="n">
        <v>0.962</v>
      </c>
      <c r="U84" s="38">
        <f>IFERROR([@InspDone]/[@InspPlanned],0)</f>
        <v/>
      </c>
      <c r="V84" s="38">
        <f>IFERROR([@ObsClosed]/[@ObsRaised],0)</f>
        <v/>
      </c>
    </row>
    <row r="85">
      <c r="A85" s="33" t="n">
        <v>45566</v>
      </c>
      <c r="B85" s="28">
        <f>YEAR([@Period])</f>
        <v/>
      </c>
      <c r="C85" s="28">
        <f>TEXT([@Period],"mmm")</f>
        <v/>
      </c>
      <c r="D85" s="30">
        <f>MONTH([@Period])</f>
        <v/>
      </c>
      <c r="E85" s="28" t="inlineStr">
        <is>
          <t>Elution &amp; Gold Room</t>
        </is>
      </c>
      <c r="F85" s="28" t="inlineStr">
        <is>
          <t>Processing</t>
        </is>
      </c>
      <c r="G85" s="28" t="inlineStr">
        <is>
          <t>Owner (Asanko)</t>
        </is>
      </c>
      <c r="H85" s="34" t="n">
        <v>4300</v>
      </c>
      <c r="I85" s="35" t="n">
        <v>1</v>
      </c>
      <c r="J85" s="35" t="n">
        <v>1</v>
      </c>
      <c r="K85" s="35" t="n">
        <v>5</v>
      </c>
      <c r="L85" s="35" t="n">
        <v>5</v>
      </c>
      <c r="M85" s="35" t="n">
        <v>2</v>
      </c>
      <c r="N85" s="35" t="n">
        <v>2</v>
      </c>
      <c r="O85" s="36" t="n">
        <v>0.995</v>
      </c>
      <c r="P85" s="35" t="n">
        <v>1</v>
      </c>
      <c r="Q85" s="35" t="n">
        <v>1</v>
      </c>
      <c r="R85" s="35" t="n">
        <v>3</v>
      </c>
      <c r="S85" s="35" t="n">
        <v>3</v>
      </c>
      <c r="T85" s="37" t="n">
        <v>0.894</v>
      </c>
      <c r="U85" s="38">
        <f>IFERROR([@InspDone]/[@InspPlanned],0)</f>
        <v/>
      </c>
      <c r="V85" s="38">
        <f>IFERROR([@ObsClosed]/[@ObsRaised],0)</f>
        <v/>
      </c>
    </row>
    <row r="86">
      <c r="A86" s="33" t="n">
        <v>45566</v>
      </c>
      <c r="B86" s="28">
        <f>YEAR([@Period])</f>
        <v/>
      </c>
      <c r="C86" s="28">
        <f>TEXT([@Period],"mmm")</f>
        <v/>
      </c>
      <c r="D86" s="30">
        <f>MONTH([@Period])</f>
        <v/>
      </c>
      <c r="E86" s="28" t="inlineStr">
        <is>
          <t>Tailings Storage Facility</t>
        </is>
      </c>
      <c r="F86" s="28" t="inlineStr">
        <is>
          <t>Environment</t>
        </is>
      </c>
      <c r="G86" s="28" t="inlineStr">
        <is>
          <t>Owner (Asanko)</t>
        </is>
      </c>
      <c r="H86" s="34" t="n">
        <v>3474</v>
      </c>
      <c r="I86" s="35" t="n">
        <v>0</v>
      </c>
      <c r="J86" s="35" t="n">
        <v>1</v>
      </c>
      <c r="K86" s="35" t="n">
        <v>1</v>
      </c>
      <c r="L86" s="35" t="n">
        <v>1</v>
      </c>
      <c r="M86" s="35" t="n">
        <v>2</v>
      </c>
      <c r="N86" s="35" t="n">
        <v>2</v>
      </c>
      <c r="O86" s="36" t="n">
        <v>0.885</v>
      </c>
      <c r="P86" s="35" t="n">
        <v>0</v>
      </c>
      <c r="Q86" s="35" t="n">
        <v>0</v>
      </c>
      <c r="R86" s="35" t="n">
        <v>3</v>
      </c>
      <c r="S86" s="35" t="n">
        <v>3</v>
      </c>
      <c r="T86" s="37" t="n">
        <v>0.914</v>
      </c>
      <c r="U86" s="38">
        <f>IFERROR([@InspDone]/[@InspPlanned],0)</f>
        <v/>
      </c>
      <c r="V86" s="38">
        <f>IFERROR([@ObsClosed]/[@ObsRaised],0)</f>
        <v/>
      </c>
    </row>
    <row r="87">
      <c r="A87" s="33" t="n">
        <v>45566</v>
      </c>
      <c r="B87" s="28">
        <f>YEAR([@Period])</f>
        <v/>
      </c>
      <c r="C87" s="28">
        <f>TEXT([@Period],"mmm")</f>
        <v/>
      </c>
      <c r="D87" s="30">
        <f>MONTH([@Period])</f>
        <v/>
      </c>
      <c r="E87" s="28" t="inlineStr">
        <is>
          <t>Water Treatment</t>
        </is>
      </c>
      <c r="F87" s="28" t="inlineStr">
        <is>
          <t>Environment</t>
        </is>
      </c>
      <c r="G87" s="28" t="inlineStr">
        <is>
          <t>Owner (Asanko)</t>
        </is>
      </c>
      <c r="H87" s="34" t="n">
        <v>2616</v>
      </c>
      <c r="I87" s="35" t="n">
        <v>2</v>
      </c>
      <c r="J87" s="35" t="n">
        <v>1</v>
      </c>
      <c r="K87" s="35" t="n">
        <v>4</v>
      </c>
      <c r="L87" s="35" t="n">
        <v>4</v>
      </c>
      <c r="M87" s="35" t="n">
        <v>2</v>
      </c>
      <c r="N87" s="35" t="n">
        <v>2</v>
      </c>
      <c r="O87" s="36" t="n">
        <v>0.906</v>
      </c>
      <c r="P87" s="35" t="n">
        <v>1</v>
      </c>
      <c r="Q87" s="35" t="n">
        <v>3</v>
      </c>
      <c r="R87" s="35" t="n">
        <v>3</v>
      </c>
      <c r="S87" s="35" t="n">
        <v>3</v>
      </c>
      <c r="T87" s="37" t="n">
        <v>0.958</v>
      </c>
      <c r="U87" s="38">
        <f>IFERROR([@InspDone]/[@InspPlanned],0)</f>
        <v/>
      </c>
      <c r="V87" s="38">
        <f>IFERROR([@ObsClosed]/[@ObsRaised],0)</f>
        <v/>
      </c>
    </row>
    <row r="88">
      <c r="A88" s="33" t="n">
        <v>45566</v>
      </c>
      <c r="B88" s="28">
        <f>YEAR([@Period])</f>
        <v/>
      </c>
      <c r="C88" s="28">
        <f>TEXT([@Period],"mmm")</f>
        <v/>
      </c>
      <c r="D88" s="30">
        <f>MONTH([@Period])</f>
        <v/>
      </c>
      <c r="E88" s="28" t="inlineStr">
        <is>
          <t>Assay Laboratory</t>
        </is>
      </c>
      <c r="F88" s="28" t="inlineStr">
        <is>
          <t>Laboratory</t>
        </is>
      </c>
      <c r="G88" s="28" t="inlineStr">
        <is>
          <t>SGS (Laboratory)</t>
        </is>
      </c>
      <c r="H88" s="34" t="n">
        <v>5100</v>
      </c>
      <c r="I88" s="35" t="n">
        <v>1</v>
      </c>
      <c r="J88" s="35" t="n">
        <v>1</v>
      </c>
      <c r="K88" s="35" t="n">
        <v>1</v>
      </c>
      <c r="L88" s="35" t="n">
        <v>1</v>
      </c>
      <c r="M88" s="35" t="n">
        <v>2</v>
      </c>
      <c r="N88" s="35" t="n">
        <v>2</v>
      </c>
      <c r="O88" s="36" t="n">
        <v>0.907</v>
      </c>
      <c r="P88" s="35" t="n">
        <v>0</v>
      </c>
      <c r="Q88" s="35" t="n">
        <v>0</v>
      </c>
      <c r="R88" s="35" t="n">
        <v>4</v>
      </c>
      <c r="S88" s="35" t="n">
        <v>4</v>
      </c>
      <c r="T88" s="37" t="n">
        <v>0.925</v>
      </c>
      <c r="U88" s="38">
        <f>IFERROR([@InspDone]/[@InspPlanned],0)</f>
        <v/>
      </c>
      <c r="V88" s="38">
        <f>IFERROR([@ObsClosed]/[@ObsRaised],0)</f>
        <v/>
      </c>
    </row>
    <row r="89">
      <c r="A89" s="33" t="n">
        <v>45566</v>
      </c>
      <c r="B89" s="28">
        <f>YEAR([@Period])</f>
        <v/>
      </c>
      <c r="C89" s="28">
        <f>TEXT([@Period],"mmm")</f>
        <v/>
      </c>
      <c r="D89" s="30">
        <f>MONTH([@Period])</f>
        <v/>
      </c>
      <c r="E89" s="28" t="inlineStr">
        <is>
          <t>HME Workshop</t>
        </is>
      </c>
      <c r="F89" s="28" t="inlineStr">
        <is>
          <t>Engineering</t>
        </is>
      </c>
      <c r="G89" s="28" t="inlineStr">
        <is>
          <t>Owner (Asanko)</t>
        </is>
      </c>
      <c r="H89" s="34" t="n">
        <v>11605</v>
      </c>
      <c r="I89" s="35" t="n">
        <v>4</v>
      </c>
      <c r="J89" s="35" t="n">
        <v>3</v>
      </c>
      <c r="K89" s="35" t="n">
        <v>3</v>
      </c>
      <c r="L89" s="35" t="n">
        <v>3</v>
      </c>
      <c r="M89" s="35" t="n">
        <v>3</v>
      </c>
      <c r="N89" s="35" t="n">
        <v>3</v>
      </c>
      <c r="O89" s="36" t="n">
        <v>0.927</v>
      </c>
      <c r="P89" s="35" t="n">
        <v>0</v>
      </c>
      <c r="Q89" s="35" t="n">
        <v>5</v>
      </c>
      <c r="R89" s="35" t="n">
        <v>9</v>
      </c>
      <c r="S89" s="35" t="n">
        <v>8</v>
      </c>
      <c r="T89" s="37" t="n">
        <v>0.894</v>
      </c>
      <c r="U89" s="38">
        <f>IFERROR([@InspDone]/[@InspPlanned],0)</f>
        <v/>
      </c>
      <c r="V89" s="38">
        <f>IFERROR([@ObsClosed]/[@ObsRaised],0)</f>
        <v/>
      </c>
    </row>
    <row r="90">
      <c r="A90" s="33" t="n">
        <v>45566</v>
      </c>
      <c r="B90" s="28">
        <f>YEAR([@Period])</f>
        <v/>
      </c>
      <c r="C90" s="28">
        <f>TEXT([@Period],"mmm")</f>
        <v/>
      </c>
      <c r="D90" s="30">
        <f>MONTH([@Period])</f>
        <v/>
      </c>
      <c r="E90" s="28" t="inlineStr">
        <is>
          <t>Fuel Farm</t>
        </is>
      </c>
      <c r="F90" s="28" t="inlineStr">
        <is>
          <t>Engineering</t>
        </is>
      </c>
      <c r="G90" s="28" t="inlineStr">
        <is>
          <t>Owner (Asanko)</t>
        </is>
      </c>
      <c r="H90" s="34" t="n">
        <v>2240</v>
      </c>
      <c r="I90" s="35" t="n">
        <v>0</v>
      </c>
      <c r="J90" s="35" t="n">
        <v>1</v>
      </c>
      <c r="K90" s="35" t="n">
        <v>0</v>
      </c>
      <c r="L90" s="35" t="n">
        <v>0</v>
      </c>
      <c r="M90" s="35" t="n">
        <v>2</v>
      </c>
      <c r="N90" s="35" t="n">
        <v>2</v>
      </c>
      <c r="O90" s="36" t="n">
        <v>0.9429999999999999</v>
      </c>
      <c r="P90" s="35" t="n">
        <v>0</v>
      </c>
      <c r="Q90" s="35" t="n">
        <v>2</v>
      </c>
      <c r="R90" s="35" t="n">
        <v>3</v>
      </c>
      <c r="S90" s="35" t="n">
        <v>3</v>
      </c>
      <c r="T90" s="37" t="n">
        <v>0.993</v>
      </c>
      <c r="U90" s="38">
        <f>IFERROR([@InspDone]/[@InspPlanned],0)</f>
        <v/>
      </c>
      <c r="V90" s="38">
        <f>IFERROR([@ObsClosed]/[@ObsRaised],0)</f>
        <v/>
      </c>
    </row>
    <row r="91">
      <c r="A91" s="33" t="n">
        <v>45566</v>
      </c>
      <c r="B91" s="28">
        <f>YEAR([@Period])</f>
        <v/>
      </c>
      <c r="C91" s="28">
        <f>TEXT([@Period],"mmm")</f>
        <v/>
      </c>
      <c r="D91" s="30">
        <f>MONTH([@Period])</f>
        <v/>
      </c>
      <c r="E91" s="28" t="inlineStr">
        <is>
          <t>Power Station</t>
        </is>
      </c>
      <c r="F91" s="28" t="inlineStr">
        <is>
          <t>Engineering</t>
        </is>
      </c>
      <c r="G91" s="28" t="inlineStr">
        <is>
          <t>Genser (Power)</t>
        </is>
      </c>
      <c r="H91" s="34" t="n">
        <v>4378</v>
      </c>
      <c r="I91" s="35" t="n">
        <v>0</v>
      </c>
      <c r="J91" s="35" t="n">
        <v>0</v>
      </c>
      <c r="K91" s="35" t="n">
        <v>4</v>
      </c>
      <c r="L91" s="35" t="n">
        <v>4</v>
      </c>
      <c r="M91" s="35" t="n">
        <v>2</v>
      </c>
      <c r="N91" s="35" t="n">
        <v>2</v>
      </c>
      <c r="O91" s="36" t="n">
        <v>0.952</v>
      </c>
      <c r="P91" s="35" t="n">
        <v>0</v>
      </c>
      <c r="Q91" s="35" t="n">
        <v>3</v>
      </c>
      <c r="R91" s="35" t="n">
        <v>3</v>
      </c>
      <c r="S91" s="35" t="n">
        <v>3</v>
      </c>
      <c r="T91" s="37" t="n">
        <v>0.925</v>
      </c>
      <c r="U91" s="38">
        <f>IFERROR([@InspDone]/[@InspPlanned],0)</f>
        <v/>
      </c>
      <c r="V91" s="38">
        <f>IFERROR([@ObsClosed]/[@ObsRaised],0)</f>
        <v/>
      </c>
    </row>
    <row r="92">
      <c r="A92" s="33" t="n">
        <v>45566</v>
      </c>
      <c r="B92" s="28">
        <f>YEAR([@Period])</f>
        <v/>
      </c>
      <c r="C92" s="28">
        <f>TEXT([@Period],"mmm")</f>
        <v/>
      </c>
      <c r="D92" s="30">
        <f>MONTH([@Period])</f>
        <v/>
      </c>
      <c r="E92" s="28" t="inlineStr">
        <is>
          <t>Warehouse &amp; Stores</t>
        </is>
      </c>
      <c r="F92" s="28" t="inlineStr">
        <is>
          <t>Logistics</t>
        </is>
      </c>
      <c r="G92" s="28" t="inlineStr">
        <is>
          <t>Owner (Asanko)</t>
        </is>
      </c>
      <c r="H92" s="34" t="n">
        <v>5112</v>
      </c>
      <c r="I92" s="35" t="n">
        <v>1</v>
      </c>
      <c r="J92" s="35" t="n">
        <v>3</v>
      </c>
      <c r="K92" s="35" t="n">
        <v>3</v>
      </c>
      <c r="L92" s="35" t="n">
        <v>2</v>
      </c>
      <c r="M92" s="35" t="n">
        <v>2</v>
      </c>
      <c r="N92" s="35" t="n">
        <v>2</v>
      </c>
      <c r="O92" s="36" t="n">
        <v>0.884</v>
      </c>
      <c r="P92" s="35" t="n">
        <v>1</v>
      </c>
      <c r="Q92" s="35" t="n">
        <v>2</v>
      </c>
      <c r="R92" s="35" t="n">
        <v>4</v>
      </c>
      <c r="S92" s="35" t="n">
        <v>4</v>
      </c>
      <c r="T92" s="37" t="n">
        <v>0.961</v>
      </c>
      <c r="U92" s="38">
        <f>IFERROR([@InspDone]/[@InspPlanned],0)</f>
        <v/>
      </c>
      <c r="V92" s="38">
        <f>IFERROR([@ObsClosed]/[@ObsRaised],0)</f>
        <v/>
      </c>
    </row>
    <row r="93">
      <c r="A93" s="33" t="n">
        <v>45566</v>
      </c>
      <c r="B93" s="28">
        <f>YEAR([@Period])</f>
        <v/>
      </c>
      <c r="C93" s="28">
        <f>TEXT([@Period],"mmm")</f>
        <v/>
      </c>
      <c r="D93" s="30">
        <f>MONTH([@Period])</f>
        <v/>
      </c>
      <c r="E93" s="28" t="inlineStr">
        <is>
          <t>Administration</t>
        </is>
      </c>
      <c r="F93" s="28" t="inlineStr">
        <is>
          <t>Administration</t>
        </is>
      </c>
      <c r="G93" s="28" t="inlineStr">
        <is>
          <t>Owner (Asanko)</t>
        </is>
      </c>
      <c r="H93" s="34" t="n">
        <v>12600</v>
      </c>
      <c r="I93" s="35" t="n">
        <v>4</v>
      </c>
      <c r="J93" s="35" t="n">
        <v>1</v>
      </c>
      <c r="K93" s="35" t="n">
        <v>5</v>
      </c>
      <c r="L93" s="35" t="n">
        <v>4</v>
      </c>
      <c r="M93" s="35" t="n">
        <v>3</v>
      </c>
      <c r="N93" s="35" t="n">
        <v>3</v>
      </c>
      <c r="O93" s="36" t="n">
        <v>0.993</v>
      </c>
      <c r="P93" s="35" t="n">
        <v>0</v>
      </c>
      <c r="Q93" s="35" t="n">
        <v>5</v>
      </c>
      <c r="R93" s="35" t="n">
        <v>10</v>
      </c>
      <c r="S93" s="35" t="n">
        <v>10</v>
      </c>
      <c r="T93" s="37" t="n">
        <v>0.995</v>
      </c>
      <c r="U93" s="38">
        <f>IFERROR([@InspDone]/[@InspPlanned],0)</f>
        <v/>
      </c>
      <c r="V93" s="38">
        <f>IFERROR([@ObsClosed]/[@ObsRaised],0)</f>
        <v/>
      </c>
    </row>
    <row r="94">
      <c r="A94" s="33" t="n">
        <v>45566</v>
      </c>
      <c r="B94" s="28">
        <f>YEAR([@Period])</f>
        <v/>
      </c>
      <c r="C94" s="28">
        <f>TEXT([@Period],"mmm")</f>
        <v/>
      </c>
      <c r="D94" s="30">
        <f>MONTH([@Period])</f>
        <v/>
      </c>
      <c r="E94" s="28" t="inlineStr">
        <is>
          <t>Accommodation Camp</t>
        </is>
      </c>
      <c r="F94" s="28" t="inlineStr">
        <is>
          <t>Administration</t>
        </is>
      </c>
      <c r="G94" s="28" t="inlineStr">
        <is>
          <t>Catering Co (Camp)</t>
        </is>
      </c>
      <c r="H94" s="34" t="n">
        <v>6360</v>
      </c>
      <c r="I94" s="35" t="n">
        <v>0</v>
      </c>
      <c r="J94" s="35" t="n">
        <v>1</v>
      </c>
      <c r="K94" s="35" t="n">
        <v>3</v>
      </c>
      <c r="L94" s="35" t="n">
        <v>2</v>
      </c>
      <c r="M94" s="35" t="n">
        <v>2</v>
      </c>
      <c r="N94" s="35" t="n">
        <v>2</v>
      </c>
      <c r="O94" s="36" t="n">
        <v>0.985</v>
      </c>
      <c r="P94" s="35" t="n">
        <v>1</v>
      </c>
      <c r="Q94" s="35" t="n">
        <v>3</v>
      </c>
      <c r="R94" s="35" t="n">
        <v>5</v>
      </c>
      <c r="S94" s="35" t="n">
        <v>5</v>
      </c>
      <c r="T94" s="37" t="n">
        <v>0.945</v>
      </c>
      <c r="U94" s="38">
        <f>IFERROR([@InspDone]/[@InspPlanned],0)</f>
        <v/>
      </c>
      <c r="V94" s="38">
        <f>IFERROR([@ObsClosed]/[@ObsRaised],0)</f>
        <v/>
      </c>
    </row>
    <row r="95">
      <c r="A95" s="33" t="n">
        <v>45566</v>
      </c>
      <c r="B95" s="28">
        <f>YEAR([@Period])</f>
        <v/>
      </c>
      <c r="C95" s="28">
        <f>TEXT([@Period],"mmm")</f>
        <v/>
      </c>
      <c r="D95" s="30">
        <f>MONTH([@Period])</f>
        <v/>
      </c>
      <c r="E95" s="28" t="inlineStr">
        <is>
          <t>Security Gatehouse</t>
        </is>
      </c>
      <c r="F95" s="28" t="inlineStr">
        <is>
          <t>Security</t>
        </is>
      </c>
      <c r="G95" s="28" t="inlineStr">
        <is>
          <t>G4S (Security)</t>
        </is>
      </c>
      <c r="H95" s="34" t="n">
        <v>8820</v>
      </c>
      <c r="I95" s="35" t="n">
        <v>2</v>
      </c>
      <c r="J95" s="35" t="n">
        <v>2</v>
      </c>
      <c r="K95" s="35" t="n">
        <v>8</v>
      </c>
      <c r="L95" s="35" t="n">
        <v>6</v>
      </c>
      <c r="M95" s="35" t="n">
        <v>2</v>
      </c>
      <c r="N95" s="35" t="n">
        <v>2</v>
      </c>
      <c r="O95" s="36" t="n">
        <v>0.888</v>
      </c>
      <c r="P95" s="35" t="n">
        <v>0</v>
      </c>
      <c r="Q95" s="35" t="n">
        <v>2</v>
      </c>
      <c r="R95" s="35" t="n">
        <v>7</v>
      </c>
      <c r="S95" s="35" t="n">
        <v>6</v>
      </c>
      <c r="T95" s="37" t="n">
        <v>0.953</v>
      </c>
      <c r="U95" s="38">
        <f>IFERROR([@InspDone]/[@InspPlanned],0)</f>
        <v/>
      </c>
      <c r="V95" s="38">
        <f>IFERROR([@ObsClosed]/[@ObsRaised],0)</f>
        <v/>
      </c>
    </row>
    <row r="96">
      <c r="A96" s="33" t="n">
        <v>45597</v>
      </c>
      <c r="B96" s="28">
        <f>YEAR([@Period])</f>
        <v/>
      </c>
      <c r="C96" s="28">
        <f>TEXT([@Period],"mmm")</f>
        <v/>
      </c>
      <c r="D96" s="30">
        <f>MONTH([@Period])</f>
        <v/>
      </c>
      <c r="E96" s="28" t="inlineStr">
        <is>
          <t>Nkran Open Pit</t>
        </is>
      </c>
      <c r="F96" s="28" t="inlineStr">
        <is>
          <t>Mining</t>
        </is>
      </c>
      <c r="G96" s="28" t="inlineStr">
        <is>
          <t>AUMS (Mining Contractor)</t>
        </is>
      </c>
      <c r="H96" s="34" t="n">
        <v>25200</v>
      </c>
      <c r="I96" s="35" t="n">
        <v>8</v>
      </c>
      <c r="J96" s="35" t="n">
        <v>4</v>
      </c>
      <c r="K96" s="35" t="n">
        <v>13</v>
      </c>
      <c r="L96" s="35" t="n">
        <v>10</v>
      </c>
      <c r="M96" s="35" t="n">
        <v>6</v>
      </c>
      <c r="N96" s="35" t="n">
        <v>5</v>
      </c>
      <c r="O96" s="36" t="n">
        <v>0.966</v>
      </c>
      <c r="P96" s="35" t="n">
        <v>1</v>
      </c>
      <c r="Q96" s="35" t="n">
        <v>10</v>
      </c>
      <c r="R96" s="35" t="n">
        <v>20</v>
      </c>
      <c r="S96" s="35" t="n">
        <v>20</v>
      </c>
      <c r="T96" s="37" t="n">
        <v>0.964</v>
      </c>
      <c r="U96" s="38">
        <f>IFERROR([@InspDone]/[@InspPlanned],0)</f>
        <v/>
      </c>
      <c r="V96" s="38">
        <f>IFERROR([@ObsClosed]/[@ObsRaised],0)</f>
        <v/>
      </c>
    </row>
    <row r="97">
      <c r="A97" s="33" t="n">
        <v>45597</v>
      </c>
      <c r="B97" s="28">
        <f>YEAR([@Period])</f>
        <v/>
      </c>
      <c r="C97" s="28">
        <f>TEXT([@Period],"mmm")</f>
        <v/>
      </c>
      <c r="D97" s="30">
        <f>MONTH([@Period])</f>
        <v/>
      </c>
      <c r="E97" s="28" t="inlineStr">
        <is>
          <t>Esaase Open Pit</t>
        </is>
      </c>
      <c r="F97" s="28" t="inlineStr">
        <is>
          <t>Mining</t>
        </is>
      </c>
      <c r="G97" s="28" t="inlineStr">
        <is>
          <t>AUMS (Mining Contractor)</t>
        </is>
      </c>
      <c r="H97" s="34" t="n">
        <v>22660</v>
      </c>
      <c r="I97" s="35" t="n">
        <v>4</v>
      </c>
      <c r="J97" s="35" t="n">
        <v>4</v>
      </c>
      <c r="K97" s="35" t="n">
        <v>7</v>
      </c>
      <c r="L97" s="35" t="n">
        <v>6</v>
      </c>
      <c r="M97" s="35" t="n">
        <v>6</v>
      </c>
      <c r="N97" s="35" t="n">
        <v>6</v>
      </c>
      <c r="O97" s="36" t="n">
        <v>0.961</v>
      </c>
      <c r="P97" s="35" t="n">
        <v>0</v>
      </c>
      <c r="Q97" s="35" t="n">
        <v>12</v>
      </c>
      <c r="R97" s="35" t="n">
        <v>18</v>
      </c>
      <c r="S97" s="35" t="n">
        <v>17</v>
      </c>
      <c r="T97" s="37" t="n">
        <v>0.956</v>
      </c>
      <c r="U97" s="38">
        <f>IFERROR([@InspDone]/[@InspPlanned],0)</f>
        <v/>
      </c>
      <c r="V97" s="38">
        <f>IFERROR([@ObsClosed]/[@ObsRaised],0)</f>
        <v/>
      </c>
    </row>
    <row r="98">
      <c r="A98" s="33" t="n">
        <v>45597</v>
      </c>
      <c r="B98" s="28">
        <f>YEAR([@Period])</f>
        <v/>
      </c>
      <c r="C98" s="28">
        <f>TEXT([@Period],"mmm")</f>
        <v/>
      </c>
      <c r="D98" s="30">
        <f>MONTH([@Period])</f>
        <v/>
      </c>
      <c r="E98" s="28" t="inlineStr">
        <is>
          <t>Drill &amp; Blast</t>
        </is>
      </c>
      <c r="F98" s="28" t="inlineStr">
        <is>
          <t>Mining</t>
        </is>
      </c>
      <c r="G98" s="28" t="inlineStr">
        <is>
          <t>Maxam (Blasting)</t>
        </is>
      </c>
      <c r="H98" s="34" t="n">
        <v>8960</v>
      </c>
      <c r="I98" s="35" t="n">
        <v>5</v>
      </c>
      <c r="J98" s="35" t="n">
        <v>2</v>
      </c>
      <c r="K98" s="35" t="n">
        <v>4</v>
      </c>
      <c r="L98" s="35" t="n">
        <v>3</v>
      </c>
      <c r="M98" s="35" t="n">
        <v>2</v>
      </c>
      <c r="N98" s="35" t="n">
        <v>2</v>
      </c>
      <c r="O98" s="36" t="n">
        <v>0.897</v>
      </c>
      <c r="P98" s="35" t="n">
        <v>0</v>
      </c>
      <c r="Q98" s="35" t="n">
        <v>3</v>
      </c>
      <c r="R98" s="35" t="n">
        <v>6</v>
      </c>
      <c r="S98" s="35" t="n">
        <v>6</v>
      </c>
      <c r="T98" s="37" t="n">
        <v>0.986</v>
      </c>
      <c r="U98" s="38">
        <f>IFERROR([@InspDone]/[@InspPlanned],0)</f>
        <v/>
      </c>
      <c r="V98" s="38">
        <f>IFERROR([@ObsClosed]/[@ObsRaised],0)</f>
        <v/>
      </c>
    </row>
    <row r="99">
      <c r="A99" s="33" t="n">
        <v>45597</v>
      </c>
      <c r="B99" s="28">
        <f>YEAR([@Period])</f>
        <v/>
      </c>
      <c r="C99" s="28">
        <f>TEXT([@Period],"mmm")</f>
        <v/>
      </c>
      <c r="D99" s="30">
        <f>MONTH([@Period])</f>
        <v/>
      </c>
      <c r="E99" s="28" t="inlineStr">
        <is>
          <t>Haul Roads</t>
        </is>
      </c>
      <c r="F99" s="28" t="inlineStr">
        <is>
          <t>Mining</t>
        </is>
      </c>
      <c r="G99" s="28" t="inlineStr">
        <is>
          <t>AUMS (Mining Contractor)</t>
        </is>
      </c>
      <c r="H99" s="34" t="n">
        <v>11700</v>
      </c>
      <c r="I99" s="35" t="n">
        <v>2</v>
      </c>
      <c r="J99" s="35" t="n">
        <v>2</v>
      </c>
      <c r="K99" s="35" t="n">
        <v>9</v>
      </c>
      <c r="L99" s="35" t="n">
        <v>7</v>
      </c>
      <c r="M99" s="35" t="n">
        <v>3</v>
      </c>
      <c r="N99" s="35" t="n">
        <v>3</v>
      </c>
      <c r="O99" s="36" t="n">
        <v>0.97</v>
      </c>
      <c r="P99" s="35" t="n">
        <v>0</v>
      </c>
      <c r="Q99" s="35" t="n">
        <v>11</v>
      </c>
      <c r="R99" s="35" t="n">
        <v>10</v>
      </c>
      <c r="S99" s="35" t="n">
        <v>9</v>
      </c>
      <c r="T99" s="37" t="n">
        <v>0.927</v>
      </c>
      <c r="U99" s="38">
        <f>IFERROR([@InspDone]/[@InspPlanned],0)</f>
        <v/>
      </c>
      <c r="V99" s="38">
        <f>IFERROR([@ObsClosed]/[@ObsRaised],0)</f>
        <v/>
      </c>
    </row>
    <row r="100">
      <c r="A100" s="33" t="n">
        <v>45597</v>
      </c>
      <c r="B100" s="28">
        <f>YEAR([@Period])</f>
        <v/>
      </c>
      <c r="C100" s="28">
        <f>TEXT([@Period],"mmm")</f>
        <v/>
      </c>
      <c r="D100" s="30">
        <f>MONTH([@Period])</f>
        <v/>
      </c>
      <c r="E100" s="28" t="inlineStr">
        <is>
          <t>Explosives Magazine</t>
        </is>
      </c>
      <c r="F100" s="28" t="inlineStr">
        <is>
          <t>Mining</t>
        </is>
      </c>
      <c r="G100" s="28" t="inlineStr">
        <is>
          <t>Maxam (Blasting)</t>
        </is>
      </c>
      <c r="H100" s="34" t="n">
        <v>3150</v>
      </c>
      <c r="I100" s="35" t="n">
        <v>0</v>
      </c>
      <c r="J100" s="35" t="n">
        <v>1</v>
      </c>
      <c r="K100" s="35" t="n">
        <v>4</v>
      </c>
      <c r="L100" s="35" t="n">
        <v>4</v>
      </c>
      <c r="M100" s="35" t="n">
        <v>2</v>
      </c>
      <c r="N100" s="35" t="n">
        <v>2</v>
      </c>
      <c r="O100" s="36" t="n">
        <v>0.988</v>
      </c>
      <c r="P100" s="35" t="n">
        <v>0</v>
      </c>
      <c r="Q100" s="35" t="n">
        <v>1</v>
      </c>
      <c r="R100" s="35" t="n">
        <v>3</v>
      </c>
      <c r="S100" s="35" t="n">
        <v>3</v>
      </c>
      <c r="T100" s="37" t="n">
        <v>0.959</v>
      </c>
      <c r="U100" s="38">
        <f>IFERROR([@InspDone]/[@InspPlanned],0)</f>
        <v/>
      </c>
      <c r="V100" s="38">
        <f>IFERROR([@ObsClosed]/[@ObsRaised],0)</f>
        <v/>
      </c>
    </row>
    <row r="101">
      <c r="A101" s="33" t="n">
        <v>45597</v>
      </c>
      <c r="B101" s="28">
        <f>YEAR([@Period])</f>
        <v/>
      </c>
      <c r="C101" s="28">
        <f>TEXT([@Period],"mmm")</f>
        <v/>
      </c>
      <c r="D101" s="30">
        <f>MONTH([@Period])</f>
        <v/>
      </c>
      <c r="E101" s="28" t="inlineStr">
        <is>
          <t>Crushing Circuit</t>
        </is>
      </c>
      <c r="F101" s="28" t="inlineStr">
        <is>
          <t>Processing</t>
        </is>
      </c>
      <c r="G101" s="28" t="inlineStr">
        <is>
          <t>Owner (Asanko)</t>
        </is>
      </c>
      <c r="H101" s="34" t="n">
        <v>6300</v>
      </c>
      <c r="I101" s="35" t="n">
        <v>1</v>
      </c>
      <c r="J101" s="35" t="n">
        <v>1</v>
      </c>
      <c r="K101" s="35" t="n">
        <v>1</v>
      </c>
      <c r="L101" s="35" t="n">
        <v>1</v>
      </c>
      <c r="M101" s="35" t="n">
        <v>2</v>
      </c>
      <c r="N101" s="35" t="n">
        <v>2</v>
      </c>
      <c r="O101" s="36" t="n">
        <v>0.9320000000000001</v>
      </c>
      <c r="P101" s="35" t="n">
        <v>0</v>
      </c>
      <c r="Q101" s="35" t="n">
        <v>2</v>
      </c>
      <c r="R101" s="35" t="n">
        <v>5</v>
      </c>
      <c r="S101" s="35" t="n">
        <v>5</v>
      </c>
      <c r="T101" s="37" t="n">
        <v>0.963</v>
      </c>
      <c r="U101" s="38">
        <f>IFERROR([@InspDone]/[@InspPlanned],0)</f>
        <v/>
      </c>
      <c r="V101" s="38">
        <f>IFERROR([@ObsClosed]/[@ObsRaised],0)</f>
        <v/>
      </c>
    </row>
    <row r="102">
      <c r="A102" s="33" t="n">
        <v>45597</v>
      </c>
      <c r="B102" s="28">
        <f>YEAR([@Period])</f>
        <v/>
      </c>
      <c r="C102" s="28">
        <f>TEXT([@Period],"mmm")</f>
        <v/>
      </c>
      <c r="D102" s="30">
        <f>MONTH([@Period])</f>
        <v/>
      </c>
      <c r="E102" s="28" t="inlineStr">
        <is>
          <t>Processing Plant (CIL)</t>
        </is>
      </c>
      <c r="F102" s="28" t="inlineStr">
        <is>
          <t>Processing</t>
        </is>
      </c>
      <c r="G102" s="28" t="inlineStr">
        <is>
          <t>Owner (Asanko)</t>
        </is>
      </c>
      <c r="H102" s="34" t="n">
        <v>19440</v>
      </c>
      <c r="I102" s="35" t="n">
        <v>3</v>
      </c>
      <c r="J102" s="35" t="n">
        <v>3</v>
      </c>
      <c r="K102" s="35" t="n">
        <v>7</v>
      </c>
      <c r="L102" s="35" t="n">
        <v>6</v>
      </c>
      <c r="M102" s="35" t="n">
        <v>5</v>
      </c>
      <c r="N102" s="35" t="n">
        <v>5</v>
      </c>
      <c r="O102" s="36" t="n">
        <v>0.979</v>
      </c>
      <c r="P102" s="35" t="n">
        <v>1</v>
      </c>
      <c r="Q102" s="35" t="n">
        <v>2</v>
      </c>
      <c r="R102" s="35" t="n">
        <v>15</v>
      </c>
      <c r="S102" s="35" t="n">
        <v>14</v>
      </c>
      <c r="T102" s="37" t="n">
        <v>0.895</v>
      </c>
      <c r="U102" s="38">
        <f>IFERROR([@InspDone]/[@InspPlanned],0)</f>
        <v/>
      </c>
      <c r="V102" s="38">
        <f>IFERROR([@ObsClosed]/[@ObsRaised],0)</f>
        <v/>
      </c>
    </row>
    <row r="103">
      <c r="A103" s="33" t="n">
        <v>45597</v>
      </c>
      <c r="B103" s="28">
        <f>YEAR([@Period])</f>
        <v/>
      </c>
      <c r="C103" s="28">
        <f>TEXT([@Period],"mmm")</f>
        <v/>
      </c>
      <c r="D103" s="30">
        <f>MONTH([@Period])</f>
        <v/>
      </c>
      <c r="E103" s="28" t="inlineStr">
        <is>
          <t>Elution &amp; Gold Room</t>
        </is>
      </c>
      <c r="F103" s="28" t="inlineStr">
        <is>
          <t>Processing</t>
        </is>
      </c>
      <c r="G103" s="28" t="inlineStr">
        <is>
          <t>Owner (Asanko)</t>
        </is>
      </c>
      <c r="H103" s="34" t="n">
        <v>3980</v>
      </c>
      <c r="I103" s="35" t="n">
        <v>0</v>
      </c>
      <c r="J103" s="35" t="n">
        <v>0</v>
      </c>
      <c r="K103" s="35" t="n">
        <v>0</v>
      </c>
      <c r="L103" s="35" t="n">
        <v>0</v>
      </c>
      <c r="M103" s="35" t="n">
        <v>2</v>
      </c>
      <c r="N103" s="35" t="n">
        <v>2</v>
      </c>
      <c r="O103" s="36" t="n">
        <v>0.993</v>
      </c>
      <c r="P103" s="35" t="n">
        <v>0</v>
      </c>
      <c r="Q103" s="35" t="n">
        <v>2</v>
      </c>
      <c r="R103" s="35" t="n">
        <v>3</v>
      </c>
      <c r="S103" s="35" t="n">
        <v>3</v>
      </c>
      <c r="T103" s="37" t="n">
        <v>0.963</v>
      </c>
      <c r="U103" s="38">
        <f>IFERROR([@InspDone]/[@InspPlanned],0)</f>
        <v/>
      </c>
      <c r="V103" s="38">
        <f>IFERROR([@ObsClosed]/[@ObsRaised],0)</f>
        <v/>
      </c>
    </row>
    <row r="104">
      <c r="A104" s="33" t="n">
        <v>45597</v>
      </c>
      <c r="B104" s="28">
        <f>YEAR([@Period])</f>
        <v/>
      </c>
      <c r="C104" s="28">
        <f>TEXT([@Period],"mmm")</f>
        <v/>
      </c>
      <c r="D104" s="30">
        <f>MONTH([@Period])</f>
        <v/>
      </c>
      <c r="E104" s="28" t="inlineStr">
        <is>
          <t>Tailings Storage Facility</t>
        </is>
      </c>
      <c r="F104" s="28" t="inlineStr">
        <is>
          <t>Environment</t>
        </is>
      </c>
      <c r="G104" s="28" t="inlineStr">
        <is>
          <t>Owner (Asanko)</t>
        </is>
      </c>
      <c r="H104" s="34" t="n">
        <v>3438</v>
      </c>
      <c r="I104" s="35" t="n">
        <v>0</v>
      </c>
      <c r="J104" s="35" t="n">
        <v>0</v>
      </c>
      <c r="K104" s="35" t="n">
        <v>6</v>
      </c>
      <c r="L104" s="35" t="n">
        <v>6</v>
      </c>
      <c r="M104" s="35" t="n">
        <v>2</v>
      </c>
      <c r="N104" s="35" t="n">
        <v>2</v>
      </c>
      <c r="O104" s="36" t="n">
        <v>0.881</v>
      </c>
      <c r="P104" s="35" t="n">
        <v>0</v>
      </c>
      <c r="Q104" s="35" t="n">
        <v>2</v>
      </c>
      <c r="R104" s="35" t="n">
        <v>3</v>
      </c>
      <c r="S104" s="35" t="n">
        <v>3</v>
      </c>
      <c r="T104" s="37" t="n">
        <v>0.901</v>
      </c>
      <c r="U104" s="38">
        <f>IFERROR([@InspDone]/[@InspPlanned],0)</f>
        <v/>
      </c>
      <c r="V104" s="38">
        <f>IFERROR([@ObsClosed]/[@ObsRaised],0)</f>
        <v/>
      </c>
    </row>
    <row r="105">
      <c r="A105" s="33" t="n">
        <v>45597</v>
      </c>
      <c r="B105" s="28">
        <f>YEAR([@Period])</f>
        <v/>
      </c>
      <c r="C105" s="28">
        <f>TEXT([@Period],"mmm")</f>
        <v/>
      </c>
      <c r="D105" s="30">
        <f>MONTH([@Period])</f>
        <v/>
      </c>
      <c r="E105" s="28" t="inlineStr">
        <is>
          <t>Water Treatment</t>
        </is>
      </c>
      <c r="F105" s="28" t="inlineStr">
        <is>
          <t>Environment</t>
        </is>
      </c>
      <c r="G105" s="28" t="inlineStr">
        <is>
          <t>Owner (Asanko)</t>
        </is>
      </c>
      <c r="H105" s="34" t="n">
        <v>2172</v>
      </c>
      <c r="I105" s="35" t="n">
        <v>0</v>
      </c>
      <c r="J105" s="35" t="n">
        <v>2</v>
      </c>
      <c r="K105" s="35" t="n">
        <v>1</v>
      </c>
      <c r="L105" s="35" t="n">
        <v>1</v>
      </c>
      <c r="M105" s="35" t="n">
        <v>2</v>
      </c>
      <c r="N105" s="35" t="n">
        <v>2</v>
      </c>
      <c r="O105" s="36" t="n">
        <v>0.96</v>
      </c>
      <c r="P105" s="35" t="n">
        <v>0</v>
      </c>
      <c r="Q105" s="35" t="n">
        <v>3</v>
      </c>
      <c r="R105" s="35" t="n">
        <v>3</v>
      </c>
      <c r="S105" s="35" t="n">
        <v>3</v>
      </c>
      <c r="T105" s="37" t="n">
        <v>0.992</v>
      </c>
      <c r="U105" s="38">
        <f>IFERROR([@InspDone]/[@InspPlanned],0)</f>
        <v/>
      </c>
      <c r="V105" s="38">
        <f>IFERROR([@ObsClosed]/[@ObsRaised],0)</f>
        <v/>
      </c>
    </row>
    <row r="106">
      <c r="A106" s="33" t="n">
        <v>45597</v>
      </c>
      <c r="B106" s="28">
        <f>YEAR([@Period])</f>
        <v/>
      </c>
      <c r="C106" s="28">
        <f>TEXT([@Period],"mmm")</f>
        <v/>
      </c>
      <c r="D106" s="30">
        <f>MONTH([@Period])</f>
        <v/>
      </c>
      <c r="E106" s="28" t="inlineStr">
        <is>
          <t>Assay Laboratory</t>
        </is>
      </c>
      <c r="F106" s="28" t="inlineStr">
        <is>
          <t>Laboratory</t>
        </is>
      </c>
      <c r="G106" s="28" t="inlineStr">
        <is>
          <t>SGS (Laboratory)</t>
        </is>
      </c>
      <c r="H106" s="34" t="n">
        <v>5150</v>
      </c>
      <c r="I106" s="35" t="n">
        <v>4</v>
      </c>
      <c r="J106" s="35" t="n">
        <v>0</v>
      </c>
      <c r="K106" s="35" t="n">
        <v>0</v>
      </c>
      <c r="L106" s="35" t="n">
        <v>0</v>
      </c>
      <c r="M106" s="35" t="n">
        <v>2</v>
      </c>
      <c r="N106" s="35" t="n">
        <v>2</v>
      </c>
      <c r="O106" s="36" t="n">
        <v>0.92</v>
      </c>
      <c r="P106" s="35" t="n">
        <v>1</v>
      </c>
      <c r="Q106" s="35" t="n">
        <v>3</v>
      </c>
      <c r="R106" s="35" t="n">
        <v>4</v>
      </c>
      <c r="S106" s="35" t="n">
        <v>4</v>
      </c>
      <c r="T106" s="37" t="n">
        <v>0.923</v>
      </c>
      <c r="U106" s="38">
        <f>IFERROR([@InspDone]/[@InspPlanned],0)</f>
        <v/>
      </c>
      <c r="V106" s="38">
        <f>IFERROR([@ObsClosed]/[@ObsRaised],0)</f>
        <v/>
      </c>
    </row>
    <row r="107">
      <c r="A107" s="33" t="n">
        <v>45597</v>
      </c>
      <c r="B107" s="28">
        <f>YEAR([@Period])</f>
        <v/>
      </c>
      <c r="C107" s="28">
        <f>TEXT([@Period],"mmm")</f>
        <v/>
      </c>
      <c r="D107" s="30">
        <f>MONTH([@Period])</f>
        <v/>
      </c>
      <c r="E107" s="28" t="inlineStr">
        <is>
          <t>HME Workshop</t>
        </is>
      </c>
      <c r="F107" s="28" t="inlineStr">
        <is>
          <t>Engineering</t>
        </is>
      </c>
      <c r="G107" s="28" t="inlineStr">
        <is>
          <t>Owner (Asanko)</t>
        </is>
      </c>
      <c r="H107" s="34" t="n">
        <v>11550</v>
      </c>
      <c r="I107" s="35" t="n">
        <v>2</v>
      </c>
      <c r="J107" s="35" t="n">
        <v>3</v>
      </c>
      <c r="K107" s="35" t="n">
        <v>6</v>
      </c>
      <c r="L107" s="35" t="n">
        <v>5</v>
      </c>
      <c r="M107" s="35" t="n">
        <v>3</v>
      </c>
      <c r="N107" s="35" t="n">
        <v>3</v>
      </c>
      <c r="O107" s="36" t="n">
        <v>0.899</v>
      </c>
      <c r="P107" s="35" t="n">
        <v>0</v>
      </c>
      <c r="Q107" s="35" t="n">
        <v>5</v>
      </c>
      <c r="R107" s="35" t="n">
        <v>9</v>
      </c>
      <c r="S107" s="35" t="n">
        <v>9</v>
      </c>
      <c r="T107" s="37" t="n">
        <v>0.99</v>
      </c>
      <c r="U107" s="38">
        <f>IFERROR([@InspDone]/[@InspPlanned],0)</f>
        <v/>
      </c>
      <c r="V107" s="38">
        <f>IFERROR([@ObsClosed]/[@ObsRaised],0)</f>
        <v/>
      </c>
    </row>
    <row r="108">
      <c r="A108" s="33" t="n">
        <v>45597</v>
      </c>
      <c r="B108" s="28">
        <f>YEAR([@Period])</f>
        <v/>
      </c>
      <c r="C108" s="28">
        <f>TEXT([@Period],"mmm")</f>
        <v/>
      </c>
      <c r="D108" s="30">
        <f>MONTH([@Period])</f>
        <v/>
      </c>
      <c r="E108" s="28" t="inlineStr">
        <is>
          <t>Fuel Farm</t>
        </is>
      </c>
      <c r="F108" s="28" t="inlineStr">
        <is>
          <t>Engineering</t>
        </is>
      </c>
      <c r="G108" s="28" t="inlineStr">
        <is>
          <t>Owner (Asanko)</t>
        </is>
      </c>
      <c r="H108" s="34" t="n">
        <v>2190</v>
      </c>
      <c r="I108" s="35" t="n">
        <v>0</v>
      </c>
      <c r="J108" s="35" t="n">
        <v>1</v>
      </c>
      <c r="K108" s="35" t="n">
        <v>5</v>
      </c>
      <c r="L108" s="35" t="n">
        <v>4</v>
      </c>
      <c r="M108" s="35" t="n">
        <v>2</v>
      </c>
      <c r="N108" s="35" t="n">
        <v>2</v>
      </c>
      <c r="O108" s="36" t="n">
        <v>0.972</v>
      </c>
      <c r="P108" s="35" t="n">
        <v>0</v>
      </c>
      <c r="Q108" s="35" t="n">
        <v>0</v>
      </c>
      <c r="R108" s="35" t="n">
        <v>3</v>
      </c>
      <c r="S108" s="35" t="n">
        <v>3</v>
      </c>
      <c r="T108" s="37" t="n">
        <v>0.948</v>
      </c>
      <c r="U108" s="38">
        <f>IFERROR([@InspDone]/[@InspPlanned],0)</f>
        <v/>
      </c>
      <c r="V108" s="38">
        <f>IFERROR([@ObsClosed]/[@ObsRaised],0)</f>
        <v/>
      </c>
    </row>
    <row r="109">
      <c r="A109" s="33" t="n">
        <v>45597</v>
      </c>
      <c r="B109" s="28">
        <f>YEAR([@Period])</f>
        <v/>
      </c>
      <c r="C109" s="28">
        <f>TEXT([@Period],"mmm")</f>
        <v/>
      </c>
      <c r="D109" s="30">
        <f>MONTH([@Period])</f>
        <v/>
      </c>
      <c r="E109" s="28" t="inlineStr">
        <is>
          <t>Power Station</t>
        </is>
      </c>
      <c r="F109" s="28" t="inlineStr">
        <is>
          <t>Engineering</t>
        </is>
      </c>
      <c r="G109" s="28" t="inlineStr">
        <is>
          <t>Genser (Power)</t>
        </is>
      </c>
      <c r="H109" s="34" t="n">
        <v>4158</v>
      </c>
      <c r="I109" s="35" t="n">
        <v>0</v>
      </c>
      <c r="J109" s="35" t="n">
        <v>1</v>
      </c>
      <c r="K109" s="35" t="n">
        <v>2</v>
      </c>
      <c r="L109" s="35" t="n">
        <v>2</v>
      </c>
      <c r="M109" s="35" t="n">
        <v>2</v>
      </c>
      <c r="N109" s="35" t="n">
        <v>2</v>
      </c>
      <c r="O109" s="36" t="n">
        <v>0.989</v>
      </c>
      <c r="P109" s="35" t="n">
        <v>0</v>
      </c>
      <c r="Q109" s="35" t="n">
        <v>2</v>
      </c>
      <c r="R109" s="35" t="n">
        <v>3</v>
      </c>
      <c r="S109" s="35" t="n">
        <v>3</v>
      </c>
      <c r="T109" s="37" t="n">
        <v>0.965</v>
      </c>
      <c r="U109" s="38">
        <f>IFERROR([@InspDone]/[@InspPlanned],0)</f>
        <v/>
      </c>
      <c r="V109" s="38">
        <f>IFERROR([@ObsClosed]/[@ObsRaised],0)</f>
        <v/>
      </c>
    </row>
    <row r="110">
      <c r="A110" s="33" t="n">
        <v>45597</v>
      </c>
      <c r="B110" s="28">
        <f>YEAR([@Period])</f>
        <v/>
      </c>
      <c r="C110" s="28">
        <f>TEXT([@Period],"mmm")</f>
        <v/>
      </c>
      <c r="D110" s="30">
        <f>MONTH([@Period])</f>
        <v/>
      </c>
      <c r="E110" s="28" t="inlineStr">
        <is>
          <t>Warehouse &amp; Stores</t>
        </is>
      </c>
      <c r="F110" s="28" t="inlineStr">
        <is>
          <t>Logistics</t>
        </is>
      </c>
      <c r="G110" s="28" t="inlineStr">
        <is>
          <t>Owner (Asanko)</t>
        </is>
      </c>
      <c r="H110" s="34" t="n">
        <v>4992</v>
      </c>
      <c r="I110" s="35" t="n">
        <v>2</v>
      </c>
      <c r="J110" s="35" t="n">
        <v>0</v>
      </c>
      <c r="K110" s="35" t="n">
        <v>0</v>
      </c>
      <c r="L110" s="35" t="n">
        <v>0</v>
      </c>
      <c r="M110" s="35" t="n">
        <v>2</v>
      </c>
      <c r="N110" s="35" t="n">
        <v>2</v>
      </c>
      <c r="O110" s="36" t="n">
        <v>0.912</v>
      </c>
      <c r="P110" s="35" t="n">
        <v>1</v>
      </c>
      <c r="Q110" s="35" t="n">
        <v>1</v>
      </c>
      <c r="R110" s="35" t="n">
        <v>4</v>
      </c>
      <c r="S110" s="35" t="n">
        <v>4</v>
      </c>
      <c r="T110" s="37" t="n">
        <v>0.955</v>
      </c>
      <c r="U110" s="38">
        <f>IFERROR([@InspDone]/[@InspPlanned],0)</f>
        <v/>
      </c>
      <c r="V110" s="38">
        <f>IFERROR([@ObsClosed]/[@ObsRaised],0)</f>
        <v/>
      </c>
    </row>
    <row r="111">
      <c r="A111" s="33" t="n">
        <v>45597</v>
      </c>
      <c r="B111" s="28">
        <f>YEAR([@Period])</f>
        <v/>
      </c>
      <c r="C111" s="28">
        <f>TEXT([@Period],"mmm")</f>
        <v/>
      </c>
      <c r="D111" s="30">
        <f>MONTH([@Period])</f>
        <v/>
      </c>
      <c r="E111" s="28" t="inlineStr">
        <is>
          <t>Administration</t>
        </is>
      </c>
      <c r="F111" s="28" t="inlineStr">
        <is>
          <t>Administration</t>
        </is>
      </c>
      <c r="G111" s="28" t="inlineStr">
        <is>
          <t>Owner (Asanko)</t>
        </is>
      </c>
      <c r="H111" s="34" t="n">
        <v>11160</v>
      </c>
      <c r="I111" s="35" t="n">
        <v>1</v>
      </c>
      <c r="J111" s="35" t="n">
        <v>3</v>
      </c>
      <c r="K111" s="35" t="n">
        <v>5</v>
      </c>
      <c r="L111" s="35" t="n">
        <v>5</v>
      </c>
      <c r="M111" s="35" t="n">
        <v>3</v>
      </c>
      <c r="N111" s="35" t="n">
        <v>3</v>
      </c>
      <c r="O111" s="36" t="n">
        <v>0.909</v>
      </c>
      <c r="P111" s="35" t="n">
        <v>0</v>
      </c>
      <c r="Q111" s="35" t="n">
        <v>3</v>
      </c>
      <c r="R111" s="35" t="n">
        <v>10</v>
      </c>
      <c r="S111" s="35" t="n">
        <v>9</v>
      </c>
      <c r="T111" s="37" t="n">
        <v>0.952</v>
      </c>
      <c r="U111" s="38">
        <f>IFERROR([@InspDone]/[@InspPlanned],0)</f>
        <v/>
      </c>
      <c r="V111" s="38">
        <f>IFERROR([@ObsClosed]/[@ObsRaised],0)</f>
        <v/>
      </c>
    </row>
    <row r="112">
      <c r="A112" s="33" t="n">
        <v>45597</v>
      </c>
      <c r="B112" s="28">
        <f>YEAR([@Period])</f>
        <v/>
      </c>
      <c r="C112" s="28">
        <f>TEXT([@Period],"mmm")</f>
        <v/>
      </c>
      <c r="D112" s="30">
        <f>MONTH([@Period])</f>
        <v/>
      </c>
      <c r="E112" s="28" t="inlineStr">
        <is>
          <t>Accommodation Camp</t>
        </is>
      </c>
      <c r="F112" s="28" t="inlineStr">
        <is>
          <t>Administration</t>
        </is>
      </c>
      <c r="G112" s="28" t="inlineStr">
        <is>
          <t>Catering Co (Camp)</t>
        </is>
      </c>
      <c r="H112" s="34" t="n">
        <v>5880</v>
      </c>
      <c r="I112" s="35" t="n">
        <v>4</v>
      </c>
      <c r="J112" s="35" t="n">
        <v>0</v>
      </c>
      <c r="K112" s="35" t="n">
        <v>1</v>
      </c>
      <c r="L112" s="35" t="n">
        <v>1</v>
      </c>
      <c r="M112" s="35" t="n">
        <v>2</v>
      </c>
      <c r="N112" s="35" t="n">
        <v>2</v>
      </c>
      <c r="O112" s="36" t="n">
        <v>0.881</v>
      </c>
      <c r="P112" s="35" t="n">
        <v>0</v>
      </c>
      <c r="Q112" s="35" t="n">
        <v>6</v>
      </c>
      <c r="R112" s="35" t="n">
        <v>5</v>
      </c>
      <c r="S112" s="35" t="n">
        <v>5</v>
      </c>
      <c r="T112" s="37" t="n">
        <v>0.907</v>
      </c>
      <c r="U112" s="38">
        <f>IFERROR([@InspDone]/[@InspPlanned],0)</f>
        <v/>
      </c>
      <c r="V112" s="38">
        <f>IFERROR([@ObsClosed]/[@ObsRaised],0)</f>
        <v/>
      </c>
    </row>
    <row r="113">
      <c r="A113" s="33" t="n">
        <v>45597</v>
      </c>
      <c r="B113" s="28">
        <f>YEAR([@Period])</f>
        <v/>
      </c>
      <c r="C113" s="28">
        <f>TEXT([@Period],"mmm")</f>
        <v/>
      </c>
      <c r="D113" s="30">
        <f>MONTH([@Period])</f>
        <v/>
      </c>
      <c r="E113" s="28" t="inlineStr">
        <is>
          <t>Security Gatehouse</t>
        </is>
      </c>
      <c r="F113" s="28" t="inlineStr">
        <is>
          <t>Security</t>
        </is>
      </c>
      <c r="G113" s="28" t="inlineStr">
        <is>
          <t>G4S (Security)</t>
        </is>
      </c>
      <c r="H113" s="34" t="n">
        <v>8235</v>
      </c>
      <c r="I113" s="35" t="n">
        <v>1</v>
      </c>
      <c r="J113" s="35" t="n">
        <v>1</v>
      </c>
      <c r="K113" s="35" t="n">
        <v>5</v>
      </c>
      <c r="L113" s="35" t="n">
        <v>5</v>
      </c>
      <c r="M113" s="35" t="n">
        <v>2</v>
      </c>
      <c r="N113" s="35" t="n">
        <v>2</v>
      </c>
      <c r="O113" s="36" t="n">
        <v>0.892</v>
      </c>
      <c r="P113" s="35" t="n">
        <v>1</v>
      </c>
      <c r="Q113" s="35" t="n">
        <v>6</v>
      </c>
      <c r="R113" s="35" t="n">
        <v>7</v>
      </c>
      <c r="S113" s="35" t="n">
        <v>6</v>
      </c>
      <c r="T113" s="37" t="n">
        <v>0.885</v>
      </c>
      <c r="U113" s="38">
        <f>IFERROR([@InspDone]/[@InspPlanned],0)</f>
        <v/>
      </c>
      <c r="V113" s="38">
        <f>IFERROR([@ObsClosed]/[@ObsRaised],0)</f>
        <v/>
      </c>
    </row>
    <row r="114">
      <c r="A114" s="33" t="n">
        <v>45627</v>
      </c>
      <c r="B114" s="28">
        <f>YEAR([@Period])</f>
        <v/>
      </c>
      <c r="C114" s="28">
        <f>TEXT([@Period],"mmm")</f>
        <v/>
      </c>
      <c r="D114" s="30">
        <f>MONTH([@Period])</f>
        <v/>
      </c>
      <c r="E114" s="28" t="inlineStr">
        <is>
          <t>Nkran Open Pit</t>
        </is>
      </c>
      <c r="F114" s="28" t="inlineStr">
        <is>
          <t>Mining</t>
        </is>
      </c>
      <c r="G114" s="28" t="inlineStr">
        <is>
          <t>AUMS (Mining Contractor)</t>
        </is>
      </c>
      <c r="H114" s="34" t="n">
        <v>21720</v>
      </c>
      <c r="I114" s="35" t="n">
        <v>7</v>
      </c>
      <c r="J114" s="35" t="n">
        <v>5</v>
      </c>
      <c r="K114" s="35" t="n">
        <v>6</v>
      </c>
      <c r="L114" s="35" t="n">
        <v>6</v>
      </c>
      <c r="M114" s="35" t="n">
        <v>6</v>
      </c>
      <c r="N114" s="35" t="n">
        <v>5</v>
      </c>
      <c r="O114" s="36" t="n">
        <v>0.978</v>
      </c>
      <c r="P114" s="35" t="n">
        <v>0</v>
      </c>
      <c r="Q114" s="35" t="n">
        <v>8</v>
      </c>
      <c r="R114" s="35" t="n">
        <v>20</v>
      </c>
      <c r="S114" s="35" t="n">
        <v>19</v>
      </c>
      <c r="T114" s="37" t="n">
        <v>0.881</v>
      </c>
      <c r="U114" s="38">
        <f>IFERROR([@InspDone]/[@InspPlanned],0)</f>
        <v/>
      </c>
      <c r="V114" s="38">
        <f>IFERROR([@ObsClosed]/[@ObsRaised],0)</f>
        <v/>
      </c>
    </row>
    <row r="115">
      <c r="A115" s="33" t="n">
        <v>45627</v>
      </c>
      <c r="B115" s="28">
        <f>YEAR([@Period])</f>
        <v/>
      </c>
      <c r="C115" s="28">
        <f>TEXT([@Period],"mmm")</f>
        <v/>
      </c>
      <c r="D115" s="30">
        <f>MONTH([@Period])</f>
        <v/>
      </c>
      <c r="E115" s="28" t="inlineStr">
        <is>
          <t>Esaase Open Pit</t>
        </is>
      </c>
      <c r="F115" s="28" t="inlineStr">
        <is>
          <t>Mining</t>
        </is>
      </c>
      <c r="G115" s="28" t="inlineStr">
        <is>
          <t>AUMS (Mining Contractor)</t>
        </is>
      </c>
      <c r="H115" s="34" t="n">
        <v>23320</v>
      </c>
      <c r="I115" s="35" t="n">
        <v>8</v>
      </c>
      <c r="J115" s="35" t="n">
        <v>3</v>
      </c>
      <c r="K115" s="35" t="n">
        <v>7</v>
      </c>
      <c r="L115" s="35" t="n">
        <v>6</v>
      </c>
      <c r="M115" s="35" t="n">
        <v>6</v>
      </c>
      <c r="N115" s="35" t="n">
        <v>5</v>
      </c>
      <c r="O115" s="36" t="n">
        <v>0.976</v>
      </c>
      <c r="P115" s="35" t="n">
        <v>1</v>
      </c>
      <c r="Q115" s="35" t="n">
        <v>11</v>
      </c>
      <c r="R115" s="35" t="n">
        <v>18</v>
      </c>
      <c r="S115" s="35" t="n">
        <v>18</v>
      </c>
      <c r="T115" s="37" t="n">
        <v>0.978</v>
      </c>
      <c r="U115" s="38">
        <f>IFERROR([@InspDone]/[@InspPlanned],0)</f>
        <v/>
      </c>
      <c r="V115" s="38">
        <f>IFERROR([@ObsClosed]/[@ObsRaised],0)</f>
        <v/>
      </c>
    </row>
    <row r="116">
      <c r="A116" s="33" t="n">
        <v>45627</v>
      </c>
      <c r="B116" s="28">
        <f>YEAR([@Period])</f>
        <v/>
      </c>
      <c r="C116" s="28">
        <f>TEXT([@Period],"mmm")</f>
        <v/>
      </c>
      <c r="D116" s="30">
        <f>MONTH([@Period])</f>
        <v/>
      </c>
      <c r="E116" s="28" t="inlineStr">
        <is>
          <t>Drill &amp; Blast</t>
        </is>
      </c>
      <c r="F116" s="28" t="inlineStr">
        <is>
          <t>Mining</t>
        </is>
      </c>
      <c r="G116" s="28" t="inlineStr">
        <is>
          <t>Maxam (Blasting)</t>
        </is>
      </c>
      <c r="H116" s="34" t="n">
        <v>8000</v>
      </c>
      <c r="I116" s="35" t="n">
        <v>1</v>
      </c>
      <c r="J116" s="35" t="n">
        <v>0</v>
      </c>
      <c r="K116" s="35" t="n">
        <v>3</v>
      </c>
      <c r="L116" s="35" t="n">
        <v>2</v>
      </c>
      <c r="M116" s="35" t="n">
        <v>2</v>
      </c>
      <c r="N116" s="35" t="n">
        <v>2</v>
      </c>
      <c r="O116" s="36" t="n">
        <v>0.951</v>
      </c>
      <c r="P116" s="35" t="n">
        <v>1</v>
      </c>
      <c r="Q116" s="35" t="n">
        <v>4</v>
      </c>
      <c r="R116" s="35" t="n">
        <v>6</v>
      </c>
      <c r="S116" s="35" t="n">
        <v>6</v>
      </c>
      <c r="T116" s="37" t="n">
        <v>0.928</v>
      </c>
      <c r="U116" s="38">
        <f>IFERROR([@InspDone]/[@InspPlanned],0)</f>
        <v/>
      </c>
      <c r="V116" s="38">
        <f>IFERROR([@ObsClosed]/[@ObsRaised],0)</f>
        <v/>
      </c>
    </row>
    <row r="117">
      <c r="A117" s="33" t="n">
        <v>45627</v>
      </c>
      <c r="B117" s="28">
        <f>YEAR([@Period])</f>
        <v/>
      </c>
      <c r="C117" s="28">
        <f>TEXT([@Period],"mmm")</f>
        <v/>
      </c>
      <c r="D117" s="30">
        <f>MONTH([@Period])</f>
        <v/>
      </c>
      <c r="E117" s="28" t="inlineStr">
        <is>
          <t>Haul Roads</t>
        </is>
      </c>
      <c r="F117" s="28" t="inlineStr">
        <is>
          <t>Mining</t>
        </is>
      </c>
      <c r="G117" s="28" t="inlineStr">
        <is>
          <t>AUMS (Mining Contractor)</t>
        </is>
      </c>
      <c r="H117" s="34" t="n">
        <v>11820</v>
      </c>
      <c r="I117" s="35" t="n">
        <v>1</v>
      </c>
      <c r="J117" s="35" t="n">
        <v>6</v>
      </c>
      <c r="K117" s="35" t="n">
        <v>3</v>
      </c>
      <c r="L117" s="35" t="n">
        <v>2</v>
      </c>
      <c r="M117" s="35" t="n">
        <v>3</v>
      </c>
      <c r="N117" s="35" t="n">
        <v>3</v>
      </c>
      <c r="O117" s="36" t="n">
        <v>0.91</v>
      </c>
      <c r="P117" s="35" t="n">
        <v>0</v>
      </c>
      <c r="Q117" s="35" t="n">
        <v>3</v>
      </c>
      <c r="R117" s="35" t="n">
        <v>10</v>
      </c>
      <c r="S117" s="35" t="n">
        <v>9</v>
      </c>
      <c r="T117" s="37" t="n">
        <v>0.961</v>
      </c>
      <c r="U117" s="38">
        <f>IFERROR([@InspDone]/[@InspPlanned],0)</f>
        <v/>
      </c>
      <c r="V117" s="38">
        <f>IFERROR([@ObsClosed]/[@ObsRaised],0)</f>
        <v/>
      </c>
    </row>
    <row r="118">
      <c r="A118" s="33" t="n">
        <v>45627</v>
      </c>
      <c r="B118" s="28">
        <f>YEAR([@Period])</f>
        <v/>
      </c>
      <c r="C118" s="28">
        <f>TEXT([@Period],"mmm")</f>
        <v/>
      </c>
      <c r="D118" s="30">
        <f>MONTH([@Period])</f>
        <v/>
      </c>
      <c r="E118" s="28" t="inlineStr">
        <is>
          <t>Explosives Magazine</t>
        </is>
      </c>
      <c r="F118" s="28" t="inlineStr">
        <is>
          <t>Mining</t>
        </is>
      </c>
      <c r="G118" s="28" t="inlineStr">
        <is>
          <t>Maxam (Blasting)</t>
        </is>
      </c>
      <c r="H118" s="34" t="n">
        <v>3210</v>
      </c>
      <c r="I118" s="35" t="n">
        <v>0</v>
      </c>
      <c r="J118" s="35" t="n">
        <v>2</v>
      </c>
      <c r="K118" s="35" t="n">
        <v>0</v>
      </c>
      <c r="L118" s="35" t="n">
        <v>0</v>
      </c>
      <c r="M118" s="35" t="n">
        <v>2</v>
      </c>
      <c r="N118" s="35" t="n">
        <v>2</v>
      </c>
      <c r="O118" s="36" t="n">
        <v>0.97</v>
      </c>
      <c r="P118" s="35" t="n">
        <v>1</v>
      </c>
      <c r="Q118" s="35" t="n">
        <v>2</v>
      </c>
      <c r="R118" s="35" t="n">
        <v>3</v>
      </c>
      <c r="S118" s="35" t="n">
        <v>3</v>
      </c>
      <c r="T118" s="37" t="n">
        <v>0.9340000000000001</v>
      </c>
      <c r="U118" s="38">
        <f>IFERROR([@InspDone]/[@InspPlanned],0)</f>
        <v/>
      </c>
      <c r="V118" s="38">
        <f>IFERROR([@ObsClosed]/[@ObsRaised],0)</f>
        <v/>
      </c>
    </row>
    <row r="119">
      <c r="A119" s="33" t="n">
        <v>45627</v>
      </c>
      <c r="B119" s="28">
        <f>YEAR([@Period])</f>
        <v/>
      </c>
      <c r="C119" s="28">
        <f>TEXT([@Period],"mmm")</f>
        <v/>
      </c>
      <c r="D119" s="30">
        <f>MONTH([@Period])</f>
        <v/>
      </c>
      <c r="E119" s="28" t="inlineStr">
        <is>
          <t>Crushing Circuit</t>
        </is>
      </c>
      <c r="F119" s="28" t="inlineStr">
        <is>
          <t>Processing</t>
        </is>
      </c>
      <c r="G119" s="28" t="inlineStr">
        <is>
          <t>Owner (Asanko)</t>
        </is>
      </c>
      <c r="H119" s="34" t="n">
        <v>7105</v>
      </c>
      <c r="I119" s="35" t="n">
        <v>0</v>
      </c>
      <c r="J119" s="35" t="n">
        <v>0</v>
      </c>
      <c r="K119" s="35" t="n">
        <v>4</v>
      </c>
      <c r="L119" s="35" t="n">
        <v>4</v>
      </c>
      <c r="M119" s="35" t="n">
        <v>2</v>
      </c>
      <c r="N119" s="35" t="n">
        <v>2</v>
      </c>
      <c r="O119" s="36" t="n">
        <v>0.931</v>
      </c>
      <c r="P119" s="35" t="n">
        <v>1</v>
      </c>
      <c r="Q119" s="35" t="n">
        <v>7</v>
      </c>
      <c r="R119" s="35" t="n">
        <v>5</v>
      </c>
      <c r="S119" s="35" t="n">
        <v>5</v>
      </c>
      <c r="T119" s="37" t="n">
        <v>0.965</v>
      </c>
      <c r="U119" s="38">
        <f>IFERROR([@InspDone]/[@InspPlanned],0)</f>
        <v/>
      </c>
      <c r="V119" s="38">
        <f>IFERROR([@ObsClosed]/[@ObsRaised],0)</f>
        <v/>
      </c>
    </row>
    <row r="120">
      <c r="A120" s="33" t="n">
        <v>45627</v>
      </c>
      <c r="B120" s="28">
        <f>YEAR([@Period])</f>
        <v/>
      </c>
      <c r="C120" s="28">
        <f>TEXT([@Period],"mmm")</f>
        <v/>
      </c>
      <c r="D120" s="30">
        <f>MONTH([@Period])</f>
        <v/>
      </c>
      <c r="E120" s="28" t="inlineStr">
        <is>
          <t>Processing Plant (CIL)</t>
        </is>
      </c>
      <c r="F120" s="28" t="inlineStr">
        <is>
          <t>Processing</t>
        </is>
      </c>
      <c r="G120" s="28" t="inlineStr">
        <is>
          <t>Owner (Asanko)</t>
        </is>
      </c>
      <c r="H120" s="34" t="n">
        <v>16560</v>
      </c>
      <c r="I120" s="35" t="n">
        <v>6</v>
      </c>
      <c r="J120" s="35" t="n">
        <v>1</v>
      </c>
      <c r="K120" s="35" t="n">
        <v>10</v>
      </c>
      <c r="L120" s="35" t="n">
        <v>9</v>
      </c>
      <c r="M120" s="35" t="n">
        <v>5</v>
      </c>
      <c r="N120" s="35" t="n">
        <v>5</v>
      </c>
      <c r="O120" s="36" t="n">
        <v>0.945</v>
      </c>
      <c r="P120" s="35" t="n">
        <v>1</v>
      </c>
      <c r="Q120" s="35" t="n">
        <v>16</v>
      </c>
      <c r="R120" s="35" t="n">
        <v>15</v>
      </c>
      <c r="S120" s="35" t="n">
        <v>14</v>
      </c>
      <c r="T120" s="37" t="n">
        <v>0.9409999999999999</v>
      </c>
      <c r="U120" s="38">
        <f>IFERROR([@InspDone]/[@InspPlanned],0)</f>
        <v/>
      </c>
      <c r="V120" s="38">
        <f>IFERROR([@ObsClosed]/[@ObsRaised],0)</f>
        <v/>
      </c>
    </row>
    <row r="121">
      <c r="A121" s="33" t="n">
        <v>45627</v>
      </c>
      <c r="B121" s="28">
        <f>YEAR([@Period])</f>
        <v/>
      </c>
      <c r="C121" s="28">
        <f>TEXT([@Period],"mmm")</f>
        <v/>
      </c>
      <c r="D121" s="30">
        <f>MONTH([@Period])</f>
        <v/>
      </c>
      <c r="E121" s="28" t="inlineStr">
        <is>
          <t>Elution &amp; Gold Room</t>
        </is>
      </c>
      <c r="F121" s="28" t="inlineStr">
        <is>
          <t>Processing</t>
        </is>
      </c>
      <c r="G121" s="28" t="inlineStr">
        <is>
          <t>Owner (Asanko)</t>
        </is>
      </c>
      <c r="H121" s="34" t="n">
        <v>4580</v>
      </c>
      <c r="I121" s="35" t="n">
        <v>0</v>
      </c>
      <c r="J121" s="35" t="n">
        <v>0</v>
      </c>
      <c r="K121" s="35" t="n">
        <v>2</v>
      </c>
      <c r="L121" s="35" t="n">
        <v>2</v>
      </c>
      <c r="M121" s="35" t="n">
        <v>2</v>
      </c>
      <c r="N121" s="35" t="n">
        <v>2</v>
      </c>
      <c r="O121" s="36" t="n">
        <v>0.899</v>
      </c>
      <c r="P121" s="35" t="n">
        <v>0</v>
      </c>
      <c r="Q121" s="35" t="n">
        <v>2</v>
      </c>
      <c r="R121" s="35" t="n">
        <v>3</v>
      </c>
      <c r="S121" s="35" t="n">
        <v>3</v>
      </c>
      <c r="T121" s="37" t="n">
        <v>0.899</v>
      </c>
      <c r="U121" s="38">
        <f>IFERROR([@InspDone]/[@InspPlanned],0)</f>
        <v/>
      </c>
      <c r="V121" s="38">
        <f>IFERROR([@ObsClosed]/[@ObsRaised],0)</f>
        <v/>
      </c>
    </row>
    <row r="122">
      <c r="A122" s="33" t="n">
        <v>45627</v>
      </c>
      <c r="B122" s="28">
        <f>YEAR([@Period])</f>
        <v/>
      </c>
      <c r="C122" s="28">
        <f>TEXT([@Period],"mmm")</f>
        <v/>
      </c>
      <c r="D122" s="30">
        <f>MONTH([@Period])</f>
        <v/>
      </c>
      <c r="E122" s="28" t="inlineStr">
        <is>
          <t>Tailings Storage Facility</t>
        </is>
      </c>
      <c r="F122" s="28" t="inlineStr">
        <is>
          <t>Environment</t>
        </is>
      </c>
      <c r="G122" s="28" t="inlineStr">
        <is>
          <t>Owner (Asanko)</t>
        </is>
      </c>
      <c r="H122" s="34" t="n">
        <v>3438</v>
      </c>
      <c r="I122" s="35" t="n">
        <v>3</v>
      </c>
      <c r="J122" s="35" t="n">
        <v>0</v>
      </c>
      <c r="K122" s="35" t="n">
        <v>3</v>
      </c>
      <c r="L122" s="35" t="n">
        <v>3</v>
      </c>
      <c r="M122" s="35" t="n">
        <v>2</v>
      </c>
      <c r="N122" s="35" t="n">
        <v>2</v>
      </c>
      <c r="O122" s="36" t="n">
        <v>0.944</v>
      </c>
      <c r="P122" s="35" t="n">
        <v>0</v>
      </c>
      <c r="Q122" s="35" t="n">
        <v>2</v>
      </c>
      <c r="R122" s="35" t="n">
        <v>3</v>
      </c>
      <c r="S122" s="35" t="n">
        <v>3</v>
      </c>
      <c r="T122" s="37" t="n">
        <v>0.9399999999999999</v>
      </c>
      <c r="U122" s="38">
        <f>IFERROR([@InspDone]/[@InspPlanned],0)</f>
        <v/>
      </c>
      <c r="V122" s="38">
        <f>IFERROR([@ObsClosed]/[@ObsRaised],0)</f>
        <v/>
      </c>
    </row>
    <row r="123">
      <c r="A123" s="33" t="n">
        <v>45627</v>
      </c>
      <c r="B123" s="28">
        <f>YEAR([@Period])</f>
        <v/>
      </c>
      <c r="C123" s="28">
        <f>TEXT([@Period],"mmm")</f>
        <v/>
      </c>
      <c r="D123" s="30">
        <f>MONTH([@Period])</f>
        <v/>
      </c>
      <c r="E123" s="28" t="inlineStr">
        <is>
          <t>Water Treatment</t>
        </is>
      </c>
      <c r="F123" s="28" t="inlineStr">
        <is>
          <t>Environment</t>
        </is>
      </c>
      <c r="G123" s="28" t="inlineStr">
        <is>
          <t>Owner (Asanko)</t>
        </is>
      </c>
      <c r="H123" s="34" t="n">
        <v>2472</v>
      </c>
      <c r="I123" s="35" t="n">
        <v>1</v>
      </c>
      <c r="J123" s="35" t="n">
        <v>1</v>
      </c>
      <c r="K123" s="35" t="n">
        <v>3</v>
      </c>
      <c r="L123" s="35" t="n">
        <v>3</v>
      </c>
      <c r="M123" s="35" t="n">
        <v>2</v>
      </c>
      <c r="N123" s="35" t="n">
        <v>2</v>
      </c>
      <c r="O123" s="36" t="n">
        <v>0.976</v>
      </c>
      <c r="P123" s="35" t="n">
        <v>1</v>
      </c>
      <c r="Q123" s="35" t="n">
        <v>2</v>
      </c>
      <c r="R123" s="35" t="n">
        <v>3</v>
      </c>
      <c r="S123" s="35" t="n">
        <v>3</v>
      </c>
      <c r="T123" s="37" t="n">
        <v>0.9330000000000001</v>
      </c>
      <c r="U123" s="38">
        <f>IFERROR([@InspDone]/[@InspPlanned],0)</f>
        <v/>
      </c>
      <c r="V123" s="38">
        <f>IFERROR([@ObsClosed]/[@ObsRaised],0)</f>
        <v/>
      </c>
    </row>
    <row r="124">
      <c r="A124" s="33" t="n">
        <v>45627</v>
      </c>
      <c r="B124" s="28">
        <f>YEAR([@Period])</f>
        <v/>
      </c>
      <c r="C124" s="28">
        <f>TEXT([@Period],"mmm")</f>
        <v/>
      </c>
      <c r="D124" s="30">
        <f>MONTH([@Period])</f>
        <v/>
      </c>
      <c r="E124" s="28" t="inlineStr">
        <is>
          <t>Assay Laboratory</t>
        </is>
      </c>
      <c r="F124" s="28" t="inlineStr">
        <is>
          <t>Laboratory</t>
        </is>
      </c>
      <c r="G124" s="28" t="inlineStr">
        <is>
          <t>SGS (Laboratory)</t>
        </is>
      </c>
      <c r="H124" s="34" t="n">
        <v>4850</v>
      </c>
      <c r="I124" s="35" t="n">
        <v>1</v>
      </c>
      <c r="J124" s="35" t="n">
        <v>0</v>
      </c>
      <c r="K124" s="35" t="n">
        <v>1</v>
      </c>
      <c r="L124" s="35" t="n">
        <v>1</v>
      </c>
      <c r="M124" s="35" t="n">
        <v>2</v>
      </c>
      <c r="N124" s="35" t="n">
        <v>2</v>
      </c>
      <c r="O124" s="36" t="n">
        <v>0.926</v>
      </c>
      <c r="P124" s="35" t="n">
        <v>0</v>
      </c>
      <c r="Q124" s="35" t="n">
        <v>5</v>
      </c>
      <c r="R124" s="35" t="n">
        <v>4</v>
      </c>
      <c r="S124" s="35" t="n">
        <v>4</v>
      </c>
      <c r="T124" s="37" t="n">
        <v>0.976</v>
      </c>
      <c r="U124" s="38">
        <f>IFERROR([@InspDone]/[@InspPlanned],0)</f>
        <v/>
      </c>
      <c r="V124" s="38">
        <f>IFERROR([@ObsClosed]/[@ObsRaised],0)</f>
        <v/>
      </c>
    </row>
    <row r="125">
      <c r="A125" s="33" t="n">
        <v>45627</v>
      </c>
      <c r="B125" s="28">
        <f>YEAR([@Period])</f>
        <v/>
      </c>
      <c r="C125" s="28">
        <f>TEXT([@Period],"mmm")</f>
        <v/>
      </c>
      <c r="D125" s="30">
        <f>MONTH([@Period])</f>
        <v/>
      </c>
      <c r="E125" s="28" t="inlineStr">
        <is>
          <t>HME Workshop</t>
        </is>
      </c>
      <c r="F125" s="28" t="inlineStr">
        <is>
          <t>Engineering</t>
        </is>
      </c>
      <c r="G125" s="28" t="inlineStr">
        <is>
          <t>Owner (Asanko)</t>
        </is>
      </c>
      <c r="H125" s="34" t="n">
        <v>10065</v>
      </c>
      <c r="I125" s="35" t="n">
        <v>1</v>
      </c>
      <c r="J125" s="35" t="n">
        <v>0</v>
      </c>
      <c r="K125" s="35" t="n">
        <v>7</v>
      </c>
      <c r="L125" s="35" t="n">
        <v>6</v>
      </c>
      <c r="M125" s="35" t="n">
        <v>3</v>
      </c>
      <c r="N125" s="35" t="n">
        <v>3</v>
      </c>
      <c r="O125" s="36" t="n">
        <v>0.88</v>
      </c>
      <c r="P125" s="35" t="n">
        <v>0</v>
      </c>
      <c r="Q125" s="35" t="n">
        <v>3</v>
      </c>
      <c r="R125" s="35" t="n">
        <v>9</v>
      </c>
      <c r="S125" s="35" t="n">
        <v>9</v>
      </c>
      <c r="T125" s="37" t="n">
        <v>0.919</v>
      </c>
      <c r="U125" s="38">
        <f>IFERROR([@InspDone]/[@InspPlanned],0)</f>
        <v/>
      </c>
      <c r="V125" s="38">
        <f>IFERROR([@ObsClosed]/[@ObsRaised],0)</f>
        <v/>
      </c>
    </row>
    <row r="126">
      <c r="A126" s="33" t="n">
        <v>45627</v>
      </c>
      <c r="B126" s="28">
        <f>YEAR([@Period])</f>
        <v/>
      </c>
      <c r="C126" s="28">
        <f>TEXT([@Period],"mmm")</f>
        <v/>
      </c>
      <c r="D126" s="30">
        <f>MONTH([@Period])</f>
        <v/>
      </c>
      <c r="E126" s="28" t="inlineStr">
        <is>
          <t>Fuel Farm</t>
        </is>
      </c>
      <c r="F126" s="28" t="inlineStr">
        <is>
          <t>Engineering</t>
        </is>
      </c>
      <c r="G126" s="28" t="inlineStr">
        <is>
          <t>Owner (Asanko)</t>
        </is>
      </c>
      <c r="H126" s="34" t="n">
        <v>2050</v>
      </c>
      <c r="I126" s="35" t="n">
        <v>3</v>
      </c>
      <c r="J126" s="35" t="n">
        <v>0</v>
      </c>
      <c r="K126" s="35" t="n">
        <v>3</v>
      </c>
      <c r="L126" s="35" t="n">
        <v>3</v>
      </c>
      <c r="M126" s="35" t="n">
        <v>2</v>
      </c>
      <c r="N126" s="35" t="n">
        <v>2</v>
      </c>
      <c r="O126" s="36" t="n">
        <v>0.957</v>
      </c>
      <c r="P126" s="35" t="n">
        <v>1</v>
      </c>
      <c r="Q126" s="35" t="n">
        <v>4</v>
      </c>
      <c r="R126" s="35" t="n">
        <v>3</v>
      </c>
      <c r="S126" s="35" t="n">
        <v>3</v>
      </c>
      <c r="T126" s="37" t="n">
        <v>0.996</v>
      </c>
      <c r="U126" s="38">
        <f>IFERROR([@InspDone]/[@InspPlanned],0)</f>
        <v/>
      </c>
      <c r="V126" s="38">
        <f>IFERROR([@ObsClosed]/[@ObsRaised],0)</f>
        <v/>
      </c>
    </row>
    <row r="127">
      <c r="A127" s="33" t="n">
        <v>45627</v>
      </c>
      <c r="B127" s="28">
        <f>YEAR([@Period])</f>
        <v/>
      </c>
      <c r="C127" s="28">
        <f>TEXT([@Period],"mmm")</f>
        <v/>
      </c>
      <c r="D127" s="30">
        <f>MONTH([@Period])</f>
        <v/>
      </c>
      <c r="E127" s="28" t="inlineStr">
        <is>
          <t>Power Station</t>
        </is>
      </c>
      <c r="F127" s="28" t="inlineStr">
        <is>
          <t>Engineering</t>
        </is>
      </c>
      <c r="G127" s="28" t="inlineStr">
        <is>
          <t>Genser (Power)</t>
        </is>
      </c>
      <c r="H127" s="34" t="n">
        <v>4510</v>
      </c>
      <c r="I127" s="35" t="n">
        <v>1</v>
      </c>
      <c r="J127" s="35" t="n">
        <v>0</v>
      </c>
      <c r="K127" s="35" t="n">
        <v>3</v>
      </c>
      <c r="L127" s="35" t="n">
        <v>2</v>
      </c>
      <c r="M127" s="35" t="n">
        <v>2</v>
      </c>
      <c r="N127" s="35" t="n">
        <v>2</v>
      </c>
      <c r="O127" s="36" t="n">
        <v>0.974</v>
      </c>
      <c r="P127" s="35" t="n">
        <v>1</v>
      </c>
      <c r="Q127" s="35" t="n">
        <v>1</v>
      </c>
      <c r="R127" s="35" t="n">
        <v>3</v>
      </c>
      <c r="S127" s="35" t="n">
        <v>3</v>
      </c>
      <c r="T127" s="37" t="n">
        <v>0.922</v>
      </c>
      <c r="U127" s="38">
        <f>IFERROR([@InspDone]/[@InspPlanned],0)</f>
        <v/>
      </c>
      <c r="V127" s="38">
        <f>IFERROR([@ObsClosed]/[@ObsRaised],0)</f>
        <v/>
      </c>
    </row>
    <row r="128">
      <c r="A128" s="33" t="n">
        <v>45627</v>
      </c>
      <c r="B128" s="28">
        <f>YEAR([@Period])</f>
        <v/>
      </c>
      <c r="C128" s="28">
        <f>TEXT([@Period],"mmm")</f>
        <v/>
      </c>
      <c r="D128" s="30">
        <f>MONTH([@Period])</f>
        <v/>
      </c>
      <c r="E128" s="28" t="inlineStr">
        <is>
          <t>Warehouse &amp; Stores</t>
        </is>
      </c>
      <c r="F128" s="28" t="inlineStr">
        <is>
          <t>Logistics</t>
        </is>
      </c>
      <c r="G128" s="28" t="inlineStr">
        <is>
          <t>Owner (Asanko)</t>
        </is>
      </c>
      <c r="H128" s="34" t="n">
        <v>4584</v>
      </c>
      <c r="I128" s="35" t="n">
        <v>0</v>
      </c>
      <c r="J128" s="35" t="n">
        <v>1</v>
      </c>
      <c r="K128" s="35" t="n">
        <v>1</v>
      </c>
      <c r="L128" s="35" t="n">
        <v>1</v>
      </c>
      <c r="M128" s="35" t="n">
        <v>2</v>
      </c>
      <c r="N128" s="35" t="n">
        <v>2</v>
      </c>
      <c r="O128" s="36" t="n">
        <v>0.89</v>
      </c>
      <c r="P128" s="35" t="n">
        <v>0</v>
      </c>
      <c r="Q128" s="35" t="n">
        <v>1</v>
      </c>
      <c r="R128" s="35" t="n">
        <v>4</v>
      </c>
      <c r="S128" s="35" t="n">
        <v>4</v>
      </c>
      <c r="T128" s="37" t="n">
        <v>0.887</v>
      </c>
      <c r="U128" s="38">
        <f>IFERROR([@InspDone]/[@InspPlanned],0)</f>
        <v/>
      </c>
      <c r="V128" s="38">
        <f>IFERROR([@ObsClosed]/[@ObsRaised],0)</f>
        <v/>
      </c>
    </row>
    <row r="129">
      <c r="A129" s="33" t="n">
        <v>45627</v>
      </c>
      <c r="B129" s="28">
        <f>YEAR([@Period])</f>
        <v/>
      </c>
      <c r="C129" s="28">
        <f>TEXT([@Period],"mmm")</f>
        <v/>
      </c>
      <c r="D129" s="30">
        <f>MONTH([@Period])</f>
        <v/>
      </c>
      <c r="E129" s="28" t="inlineStr">
        <is>
          <t>Administration</t>
        </is>
      </c>
      <c r="F129" s="28" t="inlineStr">
        <is>
          <t>Administration</t>
        </is>
      </c>
      <c r="G129" s="28" t="inlineStr">
        <is>
          <t>Owner (Asanko)</t>
        </is>
      </c>
      <c r="H129" s="34" t="n">
        <v>11460</v>
      </c>
      <c r="I129" s="35" t="n">
        <v>4</v>
      </c>
      <c r="J129" s="35" t="n">
        <v>1</v>
      </c>
      <c r="K129" s="35" t="n">
        <v>5</v>
      </c>
      <c r="L129" s="35" t="n">
        <v>5</v>
      </c>
      <c r="M129" s="35" t="n">
        <v>3</v>
      </c>
      <c r="N129" s="35" t="n">
        <v>3</v>
      </c>
      <c r="O129" s="36" t="n">
        <v>0.917</v>
      </c>
      <c r="P129" s="35" t="n">
        <v>0</v>
      </c>
      <c r="Q129" s="35" t="n">
        <v>4</v>
      </c>
      <c r="R129" s="35" t="n">
        <v>10</v>
      </c>
      <c r="S129" s="35" t="n">
        <v>9</v>
      </c>
      <c r="T129" s="37" t="n">
        <v>0.9379999999999999</v>
      </c>
      <c r="U129" s="38">
        <f>IFERROR([@InspDone]/[@InspPlanned],0)</f>
        <v/>
      </c>
      <c r="V129" s="38">
        <f>IFERROR([@ObsClosed]/[@ObsRaised],0)</f>
        <v/>
      </c>
    </row>
    <row r="130">
      <c r="A130" s="33" t="n">
        <v>45627</v>
      </c>
      <c r="B130" s="28">
        <f>YEAR([@Period])</f>
        <v/>
      </c>
      <c r="C130" s="28">
        <f>TEXT([@Period],"mmm")</f>
        <v/>
      </c>
      <c r="D130" s="30">
        <f>MONTH([@Period])</f>
        <v/>
      </c>
      <c r="E130" s="28" t="inlineStr">
        <is>
          <t>Accommodation Camp</t>
        </is>
      </c>
      <c r="F130" s="28" t="inlineStr">
        <is>
          <t>Administration</t>
        </is>
      </c>
      <c r="G130" s="28" t="inlineStr">
        <is>
          <t>Catering Co (Camp)</t>
        </is>
      </c>
      <c r="H130" s="34" t="n">
        <v>5520</v>
      </c>
      <c r="I130" s="35" t="n">
        <v>0</v>
      </c>
      <c r="J130" s="35" t="n">
        <v>0</v>
      </c>
      <c r="K130" s="35" t="n">
        <v>3</v>
      </c>
      <c r="L130" s="35" t="n">
        <v>3</v>
      </c>
      <c r="M130" s="35" t="n">
        <v>2</v>
      </c>
      <c r="N130" s="35" t="n">
        <v>2</v>
      </c>
      <c r="O130" s="36" t="n">
        <v>0.9419999999999999</v>
      </c>
      <c r="P130" s="35" t="n">
        <v>0</v>
      </c>
      <c r="Q130" s="35" t="n">
        <v>3</v>
      </c>
      <c r="R130" s="35" t="n">
        <v>5</v>
      </c>
      <c r="S130" s="35" t="n">
        <v>5</v>
      </c>
      <c r="T130" s="37" t="n">
        <v>0.9320000000000001</v>
      </c>
      <c r="U130" s="38">
        <f>IFERROR([@InspDone]/[@InspPlanned],0)</f>
        <v/>
      </c>
      <c r="V130" s="38">
        <f>IFERROR([@ObsClosed]/[@ObsRaised],0)</f>
        <v/>
      </c>
    </row>
    <row r="131">
      <c r="A131" s="33" t="n">
        <v>45627</v>
      </c>
      <c r="B131" s="28">
        <f>YEAR([@Period])</f>
        <v/>
      </c>
      <c r="C131" s="28">
        <f>TEXT([@Period],"mmm")</f>
        <v/>
      </c>
      <c r="D131" s="30">
        <f>MONTH([@Period])</f>
        <v/>
      </c>
      <c r="E131" s="28" t="inlineStr">
        <is>
          <t>Security Gatehouse</t>
        </is>
      </c>
      <c r="F131" s="28" t="inlineStr">
        <is>
          <t>Security</t>
        </is>
      </c>
      <c r="G131" s="28" t="inlineStr">
        <is>
          <t>G4S (Security)</t>
        </is>
      </c>
      <c r="H131" s="34" t="n">
        <v>9765</v>
      </c>
      <c r="I131" s="35" t="n">
        <v>2</v>
      </c>
      <c r="J131" s="35" t="n">
        <v>0</v>
      </c>
      <c r="K131" s="35" t="n">
        <v>3</v>
      </c>
      <c r="L131" s="35" t="n">
        <v>3</v>
      </c>
      <c r="M131" s="35" t="n">
        <v>2</v>
      </c>
      <c r="N131" s="35" t="n">
        <v>2</v>
      </c>
      <c r="O131" s="36" t="n">
        <v>0.967</v>
      </c>
      <c r="P131" s="35" t="n">
        <v>1</v>
      </c>
      <c r="Q131" s="35" t="n">
        <v>13</v>
      </c>
      <c r="R131" s="35" t="n">
        <v>7</v>
      </c>
      <c r="S131" s="35" t="n">
        <v>7</v>
      </c>
      <c r="T131" s="37" t="n">
        <v>0.91</v>
      </c>
      <c r="U131" s="38">
        <f>IFERROR([@InspDone]/[@InspPlanned],0)</f>
        <v/>
      </c>
      <c r="V131" s="38">
        <f>IFERROR([@ObsClosed]/[@ObsRaised],0)</f>
        <v/>
      </c>
    </row>
    <row r="132">
      <c r="A132" s="33" t="n">
        <v>45658</v>
      </c>
      <c r="B132" s="28">
        <f>YEAR([@Period])</f>
        <v/>
      </c>
      <c r="C132" s="28">
        <f>TEXT([@Period],"mmm")</f>
        <v/>
      </c>
      <c r="D132" s="30">
        <f>MONTH([@Period])</f>
        <v/>
      </c>
      <c r="E132" s="28" t="inlineStr">
        <is>
          <t>Nkran Open Pit</t>
        </is>
      </c>
      <c r="F132" s="28" t="inlineStr">
        <is>
          <t>Mining</t>
        </is>
      </c>
      <c r="G132" s="28" t="inlineStr">
        <is>
          <t>AUMS (Mining Contractor)</t>
        </is>
      </c>
      <c r="H132" s="34" t="n">
        <v>24960</v>
      </c>
      <c r="I132" s="35" t="n">
        <v>10</v>
      </c>
      <c r="J132" s="35" t="n">
        <v>3</v>
      </c>
      <c r="K132" s="35" t="n">
        <v>5</v>
      </c>
      <c r="L132" s="35" t="n">
        <v>4</v>
      </c>
      <c r="M132" s="35" t="n">
        <v>6</v>
      </c>
      <c r="N132" s="35" t="n">
        <v>6</v>
      </c>
      <c r="O132" s="36" t="n">
        <v>0.916</v>
      </c>
      <c r="P132" s="35" t="n">
        <v>1</v>
      </c>
      <c r="Q132" s="35" t="n">
        <v>8</v>
      </c>
      <c r="R132" s="35" t="n">
        <v>20</v>
      </c>
      <c r="S132" s="35" t="n">
        <v>19</v>
      </c>
      <c r="T132" s="37" t="n">
        <v>0.9340000000000001</v>
      </c>
      <c r="U132" s="38">
        <f>IFERROR([@InspDone]/[@InspPlanned],0)</f>
        <v/>
      </c>
      <c r="V132" s="38">
        <f>IFERROR([@ObsClosed]/[@ObsRaised],0)</f>
        <v/>
      </c>
    </row>
    <row r="133">
      <c r="A133" s="33" t="n">
        <v>45658</v>
      </c>
      <c r="B133" s="28">
        <f>YEAR([@Period])</f>
        <v/>
      </c>
      <c r="C133" s="28">
        <f>TEXT([@Period],"mmm")</f>
        <v/>
      </c>
      <c r="D133" s="30">
        <f>MONTH([@Period])</f>
        <v/>
      </c>
      <c r="E133" s="28" t="inlineStr">
        <is>
          <t>Esaase Open Pit</t>
        </is>
      </c>
      <c r="F133" s="28" t="inlineStr">
        <is>
          <t>Mining</t>
        </is>
      </c>
      <c r="G133" s="28" t="inlineStr">
        <is>
          <t>AUMS (Mining Contractor)</t>
        </is>
      </c>
      <c r="H133" s="34" t="n">
        <v>20570</v>
      </c>
      <c r="I133" s="35" t="n">
        <v>5</v>
      </c>
      <c r="J133" s="35" t="n">
        <v>3</v>
      </c>
      <c r="K133" s="35" t="n">
        <v>13</v>
      </c>
      <c r="L133" s="35" t="n">
        <v>12</v>
      </c>
      <c r="M133" s="35" t="n">
        <v>6</v>
      </c>
      <c r="N133" s="35" t="n">
        <v>6</v>
      </c>
      <c r="O133" s="36" t="n">
        <v>0.89</v>
      </c>
      <c r="P133" s="35" t="n">
        <v>1</v>
      </c>
      <c r="Q133" s="35" t="n">
        <v>8</v>
      </c>
      <c r="R133" s="35" t="n">
        <v>18</v>
      </c>
      <c r="S133" s="35" t="n">
        <v>18</v>
      </c>
      <c r="T133" s="37" t="n">
        <v>0.995</v>
      </c>
      <c r="U133" s="38">
        <f>IFERROR([@InspDone]/[@InspPlanned],0)</f>
        <v/>
      </c>
      <c r="V133" s="38">
        <f>IFERROR([@ObsClosed]/[@ObsRaised],0)</f>
        <v/>
      </c>
    </row>
    <row r="134">
      <c r="A134" s="33" t="n">
        <v>45658</v>
      </c>
      <c r="B134" s="28">
        <f>YEAR([@Period])</f>
        <v/>
      </c>
      <c r="C134" s="28">
        <f>TEXT([@Period],"mmm")</f>
        <v/>
      </c>
      <c r="D134" s="30">
        <f>MONTH([@Period])</f>
        <v/>
      </c>
      <c r="E134" s="28" t="inlineStr">
        <is>
          <t>Drill &amp; Blast</t>
        </is>
      </c>
      <c r="F134" s="28" t="inlineStr">
        <is>
          <t>Mining</t>
        </is>
      </c>
      <c r="G134" s="28" t="inlineStr">
        <is>
          <t>Maxam (Blasting)</t>
        </is>
      </c>
      <c r="H134" s="34" t="n">
        <v>8240</v>
      </c>
      <c r="I134" s="35" t="n">
        <v>2</v>
      </c>
      <c r="J134" s="35" t="n">
        <v>1</v>
      </c>
      <c r="K134" s="35" t="n">
        <v>4</v>
      </c>
      <c r="L134" s="35" t="n">
        <v>3</v>
      </c>
      <c r="M134" s="35" t="n">
        <v>2</v>
      </c>
      <c r="N134" s="35" t="n">
        <v>2</v>
      </c>
      <c r="O134" s="36" t="n">
        <v>0.882</v>
      </c>
      <c r="P134" s="35" t="n">
        <v>0</v>
      </c>
      <c r="Q134" s="35" t="n">
        <v>2</v>
      </c>
      <c r="R134" s="35" t="n">
        <v>6</v>
      </c>
      <c r="S134" s="35" t="n">
        <v>5</v>
      </c>
      <c r="T134" s="37" t="n">
        <v>0.899</v>
      </c>
      <c r="U134" s="38">
        <f>IFERROR([@InspDone]/[@InspPlanned],0)</f>
        <v/>
      </c>
      <c r="V134" s="38">
        <f>IFERROR([@ObsClosed]/[@ObsRaised],0)</f>
        <v/>
      </c>
    </row>
    <row r="135">
      <c r="A135" s="33" t="n">
        <v>45658</v>
      </c>
      <c r="B135" s="28">
        <f>YEAR([@Period])</f>
        <v/>
      </c>
      <c r="C135" s="28">
        <f>TEXT([@Period],"mmm")</f>
        <v/>
      </c>
      <c r="D135" s="30">
        <f>MONTH([@Period])</f>
        <v/>
      </c>
      <c r="E135" s="28" t="inlineStr">
        <is>
          <t>Haul Roads</t>
        </is>
      </c>
      <c r="F135" s="28" t="inlineStr">
        <is>
          <t>Mining</t>
        </is>
      </c>
      <c r="G135" s="28" t="inlineStr">
        <is>
          <t>AUMS (Mining Contractor)</t>
        </is>
      </c>
      <c r="H135" s="34" t="n">
        <v>12120</v>
      </c>
      <c r="I135" s="35" t="n">
        <v>4</v>
      </c>
      <c r="J135" s="35" t="n">
        <v>1</v>
      </c>
      <c r="K135" s="35" t="n">
        <v>7</v>
      </c>
      <c r="L135" s="35" t="n">
        <v>6</v>
      </c>
      <c r="M135" s="35" t="n">
        <v>3</v>
      </c>
      <c r="N135" s="35" t="n">
        <v>3</v>
      </c>
      <c r="O135" s="36" t="n">
        <v>0.963</v>
      </c>
      <c r="P135" s="35" t="n">
        <v>1</v>
      </c>
      <c r="Q135" s="35" t="n">
        <v>8</v>
      </c>
      <c r="R135" s="35" t="n">
        <v>10</v>
      </c>
      <c r="S135" s="35" t="n">
        <v>9</v>
      </c>
      <c r="T135" s="37" t="n">
        <v>0.9330000000000001</v>
      </c>
      <c r="U135" s="38">
        <f>IFERROR([@InspDone]/[@InspPlanned],0)</f>
        <v/>
      </c>
      <c r="V135" s="38">
        <f>IFERROR([@ObsClosed]/[@ObsRaised],0)</f>
        <v/>
      </c>
    </row>
    <row r="136">
      <c r="A136" s="33" t="n">
        <v>45658</v>
      </c>
      <c r="B136" s="28">
        <f>YEAR([@Period])</f>
        <v/>
      </c>
      <c r="C136" s="28">
        <f>TEXT([@Period],"mmm")</f>
        <v/>
      </c>
      <c r="D136" s="30">
        <f>MONTH([@Period])</f>
        <v/>
      </c>
      <c r="E136" s="28" t="inlineStr">
        <is>
          <t>Explosives Magazine</t>
        </is>
      </c>
      <c r="F136" s="28" t="inlineStr">
        <is>
          <t>Mining</t>
        </is>
      </c>
      <c r="G136" s="28" t="inlineStr">
        <is>
          <t>Maxam (Blasting)</t>
        </is>
      </c>
      <c r="H136" s="34" t="n">
        <v>3225</v>
      </c>
      <c r="I136" s="35" t="n">
        <v>0</v>
      </c>
      <c r="J136" s="35" t="n">
        <v>1</v>
      </c>
      <c r="K136" s="35" t="n">
        <v>5</v>
      </c>
      <c r="L136" s="35" t="n">
        <v>5</v>
      </c>
      <c r="M136" s="35" t="n">
        <v>2</v>
      </c>
      <c r="N136" s="35" t="n">
        <v>2</v>
      </c>
      <c r="O136" s="36" t="n">
        <v>0.907</v>
      </c>
      <c r="P136" s="35" t="n">
        <v>1</v>
      </c>
      <c r="Q136" s="35" t="n">
        <v>1</v>
      </c>
      <c r="R136" s="35" t="n">
        <v>3</v>
      </c>
      <c r="S136" s="35" t="n">
        <v>3</v>
      </c>
      <c r="T136" s="37" t="n">
        <v>0.924</v>
      </c>
      <c r="U136" s="38">
        <f>IFERROR([@InspDone]/[@InspPlanned],0)</f>
        <v/>
      </c>
      <c r="V136" s="38">
        <f>IFERROR([@ObsClosed]/[@ObsRaised],0)</f>
        <v/>
      </c>
    </row>
    <row r="137">
      <c r="A137" s="33" t="n">
        <v>45658</v>
      </c>
      <c r="B137" s="28">
        <f>YEAR([@Period])</f>
        <v/>
      </c>
      <c r="C137" s="28">
        <f>TEXT([@Period],"mmm")</f>
        <v/>
      </c>
      <c r="D137" s="30">
        <f>MONTH([@Period])</f>
        <v/>
      </c>
      <c r="E137" s="28" t="inlineStr">
        <is>
          <t>Crushing Circuit</t>
        </is>
      </c>
      <c r="F137" s="28" t="inlineStr">
        <is>
          <t>Processing</t>
        </is>
      </c>
      <c r="G137" s="28" t="inlineStr">
        <is>
          <t>Owner (Asanko)</t>
        </is>
      </c>
      <c r="H137" s="34" t="n">
        <v>7770</v>
      </c>
      <c r="I137" s="35" t="n">
        <v>1</v>
      </c>
      <c r="J137" s="35" t="n">
        <v>2</v>
      </c>
      <c r="K137" s="35" t="n">
        <v>1</v>
      </c>
      <c r="L137" s="35" t="n">
        <v>1</v>
      </c>
      <c r="M137" s="35" t="n">
        <v>2</v>
      </c>
      <c r="N137" s="35" t="n">
        <v>2</v>
      </c>
      <c r="O137" s="36" t="n">
        <v>0.92</v>
      </c>
      <c r="P137" s="35" t="n">
        <v>0</v>
      </c>
      <c r="Q137" s="35" t="n">
        <v>4</v>
      </c>
      <c r="R137" s="35" t="n">
        <v>5</v>
      </c>
      <c r="S137" s="35" t="n">
        <v>5</v>
      </c>
      <c r="T137" s="37" t="n">
        <v>0.924</v>
      </c>
      <c r="U137" s="38">
        <f>IFERROR([@InspDone]/[@InspPlanned],0)</f>
        <v/>
      </c>
      <c r="V137" s="38">
        <f>IFERROR([@ObsClosed]/[@ObsRaised],0)</f>
        <v/>
      </c>
    </row>
    <row r="138">
      <c r="A138" s="33" t="n">
        <v>45658</v>
      </c>
      <c r="B138" s="28">
        <f>YEAR([@Period])</f>
        <v/>
      </c>
      <c r="C138" s="28">
        <f>TEXT([@Period],"mmm")</f>
        <v/>
      </c>
      <c r="D138" s="30">
        <f>MONTH([@Period])</f>
        <v/>
      </c>
      <c r="E138" s="28" t="inlineStr">
        <is>
          <t>Processing Plant (CIL)</t>
        </is>
      </c>
      <c r="F138" s="28" t="inlineStr">
        <is>
          <t>Processing</t>
        </is>
      </c>
      <c r="G138" s="28" t="inlineStr">
        <is>
          <t>Owner (Asanko)</t>
        </is>
      </c>
      <c r="H138" s="34" t="n">
        <v>19980</v>
      </c>
      <c r="I138" s="35" t="n">
        <v>1</v>
      </c>
      <c r="J138" s="35" t="n">
        <v>2</v>
      </c>
      <c r="K138" s="35" t="n">
        <v>8</v>
      </c>
      <c r="L138" s="35" t="n">
        <v>8</v>
      </c>
      <c r="M138" s="35" t="n">
        <v>5</v>
      </c>
      <c r="N138" s="35" t="n">
        <v>5</v>
      </c>
      <c r="O138" s="36" t="n">
        <v>0.987</v>
      </c>
      <c r="P138" s="35" t="n">
        <v>0</v>
      </c>
      <c r="Q138" s="35" t="n">
        <v>9</v>
      </c>
      <c r="R138" s="35" t="n">
        <v>15</v>
      </c>
      <c r="S138" s="35" t="n">
        <v>14</v>
      </c>
      <c r="T138" s="37" t="n">
        <v>0.897</v>
      </c>
      <c r="U138" s="38">
        <f>IFERROR([@InspDone]/[@InspPlanned],0)</f>
        <v/>
      </c>
      <c r="V138" s="38">
        <f>IFERROR([@ObsClosed]/[@ObsRaised],0)</f>
        <v/>
      </c>
    </row>
    <row r="139">
      <c r="A139" s="33" t="n">
        <v>45658</v>
      </c>
      <c r="B139" s="28">
        <f>YEAR([@Period])</f>
        <v/>
      </c>
      <c r="C139" s="28">
        <f>TEXT([@Period],"mmm")</f>
        <v/>
      </c>
      <c r="D139" s="30">
        <f>MONTH([@Period])</f>
        <v/>
      </c>
      <c r="E139" s="28" t="inlineStr">
        <is>
          <t>Elution &amp; Gold Room</t>
        </is>
      </c>
      <c r="F139" s="28" t="inlineStr">
        <is>
          <t>Processing</t>
        </is>
      </c>
      <c r="G139" s="28" t="inlineStr">
        <is>
          <t>Owner (Asanko)</t>
        </is>
      </c>
      <c r="H139" s="34" t="n">
        <v>4320</v>
      </c>
      <c r="I139" s="35" t="n">
        <v>2</v>
      </c>
      <c r="J139" s="35" t="n">
        <v>3</v>
      </c>
      <c r="K139" s="35" t="n">
        <v>4</v>
      </c>
      <c r="L139" s="35" t="n">
        <v>3</v>
      </c>
      <c r="M139" s="35" t="n">
        <v>2</v>
      </c>
      <c r="N139" s="35" t="n">
        <v>2</v>
      </c>
      <c r="O139" s="36" t="n">
        <v>0.9399999999999999</v>
      </c>
      <c r="P139" s="35" t="n">
        <v>1</v>
      </c>
      <c r="Q139" s="35" t="n">
        <v>3</v>
      </c>
      <c r="R139" s="35" t="n">
        <v>3</v>
      </c>
      <c r="S139" s="35" t="n">
        <v>3</v>
      </c>
      <c r="T139" s="37" t="n">
        <v>0.922</v>
      </c>
      <c r="U139" s="38">
        <f>IFERROR([@InspDone]/[@InspPlanned],0)</f>
        <v/>
      </c>
      <c r="V139" s="38">
        <f>IFERROR([@ObsClosed]/[@ObsRaised],0)</f>
        <v/>
      </c>
    </row>
    <row r="140">
      <c r="A140" s="33" t="n">
        <v>45658</v>
      </c>
      <c r="B140" s="28">
        <f>YEAR([@Period])</f>
        <v/>
      </c>
      <c r="C140" s="28">
        <f>TEXT([@Period],"mmm")</f>
        <v/>
      </c>
      <c r="D140" s="30">
        <f>MONTH([@Period])</f>
        <v/>
      </c>
      <c r="E140" s="28" t="inlineStr">
        <is>
          <t>Tailings Storage Facility</t>
        </is>
      </c>
      <c r="F140" s="28" t="inlineStr">
        <is>
          <t>Environment</t>
        </is>
      </c>
      <c r="G140" s="28" t="inlineStr">
        <is>
          <t>Owner (Asanko)</t>
        </is>
      </c>
      <c r="H140" s="34" t="n">
        <v>3474</v>
      </c>
      <c r="I140" s="35" t="n">
        <v>0</v>
      </c>
      <c r="J140" s="35" t="n">
        <v>1</v>
      </c>
      <c r="K140" s="35" t="n">
        <v>1</v>
      </c>
      <c r="L140" s="35" t="n">
        <v>1</v>
      </c>
      <c r="M140" s="35" t="n">
        <v>2</v>
      </c>
      <c r="N140" s="35" t="n">
        <v>2</v>
      </c>
      <c r="O140" s="36" t="n">
        <v>0.947</v>
      </c>
      <c r="P140" s="35" t="n">
        <v>1</v>
      </c>
      <c r="Q140" s="35" t="n">
        <v>1</v>
      </c>
      <c r="R140" s="35" t="n">
        <v>3</v>
      </c>
      <c r="S140" s="35" t="n">
        <v>3</v>
      </c>
      <c r="T140" s="37" t="n">
        <v>0.912</v>
      </c>
      <c r="U140" s="38">
        <f>IFERROR([@InspDone]/[@InspPlanned],0)</f>
        <v/>
      </c>
      <c r="V140" s="38">
        <f>IFERROR([@ObsClosed]/[@ObsRaised],0)</f>
        <v/>
      </c>
    </row>
    <row r="141">
      <c r="A141" s="33" t="n">
        <v>45658</v>
      </c>
      <c r="B141" s="28">
        <f>YEAR([@Period])</f>
        <v/>
      </c>
      <c r="C141" s="28">
        <f>TEXT([@Period],"mmm")</f>
        <v/>
      </c>
      <c r="D141" s="30">
        <f>MONTH([@Period])</f>
        <v/>
      </c>
      <c r="E141" s="28" t="inlineStr">
        <is>
          <t>Water Treatment</t>
        </is>
      </c>
      <c r="F141" s="28" t="inlineStr">
        <is>
          <t>Environment</t>
        </is>
      </c>
      <c r="G141" s="28" t="inlineStr">
        <is>
          <t>Owner (Asanko)</t>
        </is>
      </c>
      <c r="H141" s="34" t="n">
        <v>2424</v>
      </c>
      <c r="I141" s="35" t="n">
        <v>1</v>
      </c>
      <c r="J141" s="35" t="n">
        <v>0</v>
      </c>
      <c r="K141" s="35" t="n">
        <v>0</v>
      </c>
      <c r="L141" s="35" t="n">
        <v>0</v>
      </c>
      <c r="M141" s="35" t="n">
        <v>2</v>
      </c>
      <c r="N141" s="35" t="n">
        <v>2</v>
      </c>
      <c r="O141" s="36" t="n">
        <v>0.95</v>
      </c>
      <c r="P141" s="35" t="n">
        <v>0</v>
      </c>
      <c r="Q141" s="35" t="n">
        <v>2</v>
      </c>
      <c r="R141" s="35" t="n">
        <v>3</v>
      </c>
      <c r="S141" s="35" t="n">
        <v>3</v>
      </c>
      <c r="T141" s="37" t="n">
        <v>0.985</v>
      </c>
      <c r="U141" s="38">
        <f>IFERROR([@InspDone]/[@InspPlanned],0)</f>
        <v/>
      </c>
      <c r="V141" s="38">
        <f>IFERROR([@ObsClosed]/[@ObsRaised],0)</f>
        <v/>
      </c>
    </row>
    <row r="142">
      <c r="A142" s="33" t="n">
        <v>45658</v>
      </c>
      <c r="B142" s="28">
        <f>YEAR([@Period])</f>
        <v/>
      </c>
      <c r="C142" s="28">
        <f>TEXT([@Period],"mmm")</f>
        <v/>
      </c>
      <c r="D142" s="30">
        <f>MONTH([@Period])</f>
        <v/>
      </c>
      <c r="E142" s="28" t="inlineStr">
        <is>
          <t>Assay Laboratory</t>
        </is>
      </c>
      <c r="F142" s="28" t="inlineStr">
        <is>
          <t>Laboratory</t>
        </is>
      </c>
      <c r="G142" s="28" t="inlineStr">
        <is>
          <t>SGS (Laboratory)</t>
        </is>
      </c>
      <c r="H142" s="34" t="n">
        <v>5550</v>
      </c>
      <c r="I142" s="35" t="n">
        <v>3</v>
      </c>
      <c r="J142" s="35" t="n">
        <v>0</v>
      </c>
      <c r="K142" s="35" t="n">
        <v>3</v>
      </c>
      <c r="L142" s="35" t="n">
        <v>3</v>
      </c>
      <c r="M142" s="35" t="n">
        <v>2</v>
      </c>
      <c r="N142" s="35" t="n">
        <v>2</v>
      </c>
      <c r="O142" s="36" t="n">
        <v>0.895</v>
      </c>
      <c r="P142" s="35" t="n">
        <v>0</v>
      </c>
      <c r="Q142" s="35" t="n">
        <v>2</v>
      </c>
      <c r="R142" s="35" t="n">
        <v>4</v>
      </c>
      <c r="S142" s="35" t="n">
        <v>4</v>
      </c>
      <c r="T142" s="37" t="n">
        <v>0.9399999999999999</v>
      </c>
      <c r="U142" s="38">
        <f>IFERROR([@InspDone]/[@InspPlanned],0)</f>
        <v/>
      </c>
      <c r="V142" s="38">
        <f>IFERROR([@ObsClosed]/[@ObsRaised],0)</f>
        <v/>
      </c>
    </row>
    <row r="143">
      <c r="A143" s="33" t="n">
        <v>45658</v>
      </c>
      <c r="B143" s="28">
        <f>YEAR([@Period])</f>
        <v/>
      </c>
      <c r="C143" s="28">
        <f>TEXT([@Period],"mmm")</f>
        <v/>
      </c>
      <c r="D143" s="30">
        <f>MONTH([@Period])</f>
        <v/>
      </c>
      <c r="E143" s="28" t="inlineStr">
        <is>
          <t>HME Workshop</t>
        </is>
      </c>
      <c r="F143" s="28" t="inlineStr">
        <is>
          <t>Engineering</t>
        </is>
      </c>
      <c r="G143" s="28" t="inlineStr">
        <is>
          <t>Owner (Asanko)</t>
        </is>
      </c>
      <c r="H143" s="34" t="n">
        <v>11715</v>
      </c>
      <c r="I143" s="35" t="n">
        <v>1</v>
      </c>
      <c r="J143" s="35" t="n">
        <v>1</v>
      </c>
      <c r="K143" s="35" t="n">
        <v>2</v>
      </c>
      <c r="L143" s="35" t="n">
        <v>2</v>
      </c>
      <c r="M143" s="35" t="n">
        <v>3</v>
      </c>
      <c r="N143" s="35" t="n">
        <v>3</v>
      </c>
      <c r="O143" s="36" t="n">
        <v>0.896</v>
      </c>
      <c r="P143" s="35" t="n">
        <v>0</v>
      </c>
      <c r="Q143" s="35" t="n">
        <v>5</v>
      </c>
      <c r="R143" s="35" t="n">
        <v>9</v>
      </c>
      <c r="S143" s="35" t="n">
        <v>8</v>
      </c>
      <c r="T143" s="37" t="n">
        <v>0.889</v>
      </c>
      <c r="U143" s="38">
        <f>IFERROR([@InspDone]/[@InspPlanned],0)</f>
        <v/>
      </c>
      <c r="V143" s="38">
        <f>IFERROR([@ObsClosed]/[@ObsRaised],0)</f>
        <v/>
      </c>
    </row>
    <row r="144">
      <c r="A144" s="33" t="n">
        <v>45658</v>
      </c>
      <c r="B144" s="28">
        <f>YEAR([@Period])</f>
        <v/>
      </c>
      <c r="C144" s="28">
        <f>TEXT([@Period],"mmm")</f>
        <v/>
      </c>
      <c r="D144" s="30">
        <f>MONTH([@Period])</f>
        <v/>
      </c>
      <c r="E144" s="28" t="inlineStr">
        <is>
          <t>Fuel Farm</t>
        </is>
      </c>
      <c r="F144" s="28" t="inlineStr">
        <is>
          <t>Engineering</t>
        </is>
      </c>
      <c r="G144" s="28" t="inlineStr">
        <is>
          <t>Owner (Asanko)</t>
        </is>
      </c>
      <c r="H144" s="34" t="n">
        <v>2010</v>
      </c>
      <c r="I144" s="35" t="n">
        <v>4</v>
      </c>
      <c r="J144" s="35" t="n">
        <v>0</v>
      </c>
      <c r="K144" s="35" t="n">
        <v>1</v>
      </c>
      <c r="L144" s="35" t="n">
        <v>1</v>
      </c>
      <c r="M144" s="35" t="n">
        <v>2</v>
      </c>
      <c r="N144" s="35" t="n">
        <v>2</v>
      </c>
      <c r="O144" s="36" t="n">
        <v>0.9320000000000001</v>
      </c>
      <c r="P144" s="35" t="n">
        <v>0</v>
      </c>
      <c r="Q144" s="35" t="n">
        <v>1</v>
      </c>
      <c r="R144" s="35" t="n">
        <v>3</v>
      </c>
      <c r="S144" s="35" t="n">
        <v>3</v>
      </c>
      <c r="T144" s="37" t="n">
        <v>0.923</v>
      </c>
      <c r="U144" s="38">
        <f>IFERROR([@InspDone]/[@InspPlanned],0)</f>
        <v/>
      </c>
      <c r="V144" s="38">
        <f>IFERROR([@ObsClosed]/[@ObsRaised],0)</f>
        <v/>
      </c>
    </row>
    <row r="145">
      <c r="A145" s="33" t="n">
        <v>45658</v>
      </c>
      <c r="B145" s="28">
        <f>YEAR([@Period])</f>
        <v/>
      </c>
      <c r="C145" s="28">
        <f>TEXT([@Period],"mmm")</f>
        <v/>
      </c>
      <c r="D145" s="30">
        <f>MONTH([@Period])</f>
        <v/>
      </c>
      <c r="E145" s="28" t="inlineStr">
        <is>
          <t>Power Station</t>
        </is>
      </c>
      <c r="F145" s="28" t="inlineStr">
        <is>
          <t>Engineering</t>
        </is>
      </c>
      <c r="G145" s="28" t="inlineStr">
        <is>
          <t>Genser (Power)</t>
        </is>
      </c>
      <c r="H145" s="34" t="n">
        <v>4994</v>
      </c>
      <c r="I145" s="35" t="n">
        <v>0</v>
      </c>
      <c r="J145" s="35" t="n">
        <v>1</v>
      </c>
      <c r="K145" s="35" t="n">
        <v>1</v>
      </c>
      <c r="L145" s="35" t="n">
        <v>1</v>
      </c>
      <c r="M145" s="35" t="n">
        <v>2</v>
      </c>
      <c r="N145" s="35" t="n">
        <v>2</v>
      </c>
      <c r="O145" s="36" t="n">
        <v>0.91</v>
      </c>
      <c r="P145" s="35" t="n">
        <v>1</v>
      </c>
      <c r="Q145" s="35" t="n">
        <v>2</v>
      </c>
      <c r="R145" s="35" t="n">
        <v>3</v>
      </c>
      <c r="S145" s="35" t="n">
        <v>3</v>
      </c>
      <c r="T145" s="37" t="n">
        <v>0.946</v>
      </c>
      <c r="U145" s="38">
        <f>IFERROR([@InspDone]/[@InspPlanned],0)</f>
        <v/>
      </c>
      <c r="V145" s="38">
        <f>IFERROR([@ObsClosed]/[@ObsRaised],0)</f>
        <v/>
      </c>
    </row>
    <row r="146">
      <c r="A146" s="33" t="n">
        <v>45658</v>
      </c>
      <c r="B146" s="28">
        <f>YEAR([@Period])</f>
        <v/>
      </c>
      <c r="C146" s="28">
        <f>TEXT([@Period],"mmm")</f>
        <v/>
      </c>
      <c r="D146" s="30">
        <f>MONTH([@Period])</f>
        <v/>
      </c>
      <c r="E146" s="28" t="inlineStr">
        <is>
          <t>Warehouse &amp; Stores</t>
        </is>
      </c>
      <c r="F146" s="28" t="inlineStr">
        <is>
          <t>Logistics</t>
        </is>
      </c>
      <c r="G146" s="28" t="inlineStr">
        <is>
          <t>Owner (Asanko)</t>
        </is>
      </c>
      <c r="H146" s="34" t="n">
        <v>5088</v>
      </c>
      <c r="I146" s="35" t="n">
        <v>1</v>
      </c>
      <c r="J146" s="35" t="n">
        <v>1</v>
      </c>
      <c r="K146" s="35" t="n">
        <v>1</v>
      </c>
      <c r="L146" s="35" t="n">
        <v>1</v>
      </c>
      <c r="M146" s="35" t="n">
        <v>2</v>
      </c>
      <c r="N146" s="35" t="n">
        <v>2</v>
      </c>
      <c r="O146" s="36" t="n">
        <v>0.989</v>
      </c>
      <c r="P146" s="35" t="n">
        <v>0</v>
      </c>
      <c r="Q146" s="35" t="n">
        <v>5</v>
      </c>
      <c r="R146" s="35" t="n">
        <v>4</v>
      </c>
      <c r="S146" s="35" t="n">
        <v>4</v>
      </c>
      <c r="T146" s="37" t="n">
        <v>0.946</v>
      </c>
      <c r="U146" s="38">
        <f>IFERROR([@InspDone]/[@InspPlanned],0)</f>
        <v/>
      </c>
      <c r="V146" s="38">
        <f>IFERROR([@ObsClosed]/[@ObsRaised],0)</f>
        <v/>
      </c>
    </row>
    <row r="147">
      <c r="A147" s="33" t="n">
        <v>45658</v>
      </c>
      <c r="B147" s="28">
        <f>YEAR([@Period])</f>
        <v/>
      </c>
      <c r="C147" s="28">
        <f>TEXT([@Period],"mmm")</f>
        <v/>
      </c>
      <c r="D147" s="30">
        <f>MONTH([@Period])</f>
        <v/>
      </c>
      <c r="E147" s="28" t="inlineStr">
        <is>
          <t>Administration</t>
        </is>
      </c>
      <c r="F147" s="28" t="inlineStr">
        <is>
          <t>Administration</t>
        </is>
      </c>
      <c r="G147" s="28" t="inlineStr">
        <is>
          <t>Owner (Asanko)</t>
        </is>
      </c>
      <c r="H147" s="34" t="n">
        <v>13200</v>
      </c>
      <c r="I147" s="35" t="n">
        <v>3</v>
      </c>
      <c r="J147" s="35" t="n">
        <v>3</v>
      </c>
      <c r="K147" s="35" t="n">
        <v>5</v>
      </c>
      <c r="L147" s="35" t="n">
        <v>5</v>
      </c>
      <c r="M147" s="35" t="n">
        <v>3</v>
      </c>
      <c r="N147" s="35" t="n">
        <v>3</v>
      </c>
      <c r="O147" s="36" t="n">
        <v>0.957</v>
      </c>
      <c r="P147" s="35" t="n">
        <v>0</v>
      </c>
      <c r="Q147" s="35" t="n">
        <v>10</v>
      </c>
      <c r="R147" s="35" t="n">
        <v>10</v>
      </c>
      <c r="S147" s="35" t="n">
        <v>10</v>
      </c>
      <c r="T147" s="37" t="n">
        <v>0.894</v>
      </c>
      <c r="U147" s="38">
        <f>IFERROR([@InspDone]/[@InspPlanned],0)</f>
        <v/>
      </c>
      <c r="V147" s="38">
        <f>IFERROR([@ObsClosed]/[@ObsRaised],0)</f>
        <v/>
      </c>
    </row>
    <row r="148">
      <c r="A148" s="33" t="n">
        <v>45658</v>
      </c>
      <c r="B148" s="28">
        <f>YEAR([@Period])</f>
        <v/>
      </c>
      <c r="C148" s="28">
        <f>TEXT([@Period],"mmm")</f>
        <v/>
      </c>
      <c r="D148" s="30">
        <f>MONTH([@Period])</f>
        <v/>
      </c>
      <c r="E148" s="28" t="inlineStr">
        <is>
          <t>Accommodation Camp</t>
        </is>
      </c>
      <c r="F148" s="28" t="inlineStr">
        <is>
          <t>Administration</t>
        </is>
      </c>
      <c r="G148" s="28" t="inlineStr">
        <is>
          <t>Catering Co (Camp)</t>
        </is>
      </c>
      <c r="H148" s="34" t="n">
        <v>5580</v>
      </c>
      <c r="I148" s="35" t="n">
        <v>1</v>
      </c>
      <c r="J148" s="35" t="n">
        <v>1</v>
      </c>
      <c r="K148" s="35" t="n">
        <v>3</v>
      </c>
      <c r="L148" s="35" t="n">
        <v>2</v>
      </c>
      <c r="M148" s="35" t="n">
        <v>2</v>
      </c>
      <c r="N148" s="35" t="n">
        <v>2</v>
      </c>
      <c r="O148" s="36" t="n">
        <v>0.955</v>
      </c>
      <c r="P148" s="35" t="n">
        <v>1</v>
      </c>
      <c r="Q148" s="35" t="n">
        <v>2</v>
      </c>
      <c r="R148" s="35" t="n">
        <v>5</v>
      </c>
      <c r="S148" s="35" t="n">
        <v>5</v>
      </c>
      <c r="T148" s="37" t="n">
        <v>0.913</v>
      </c>
      <c r="U148" s="38">
        <f>IFERROR([@InspDone]/[@InspPlanned],0)</f>
        <v/>
      </c>
      <c r="V148" s="38">
        <f>IFERROR([@ObsClosed]/[@ObsRaised],0)</f>
        <v/>
      </c>
    </row>
    <row r="149">
      <c r="A149" s="33" t="n">
        <v>45658</v>
      </c>
      <c r="B149" s="28">
        <f>YEAR([@Period])</f>
        <v/>
      </c>
      <c r="C149" s="28">
        <f>TEXT([@Period],"mmm")</f>
        <v/>
      </c>
      <c r="D149" s="30">
        <f>MONTH([@Period])</f>
        <v/>
      </c>
      <c r="E149" s="28" t="inlineStr">
        <is>
          <t>Security Gatehouse</t>
        </is>
      </c>
      <c r="F149" s="28" t="inlineStr">
        <is>
          <t>Security</t>
        </is>
      </c>
      <c r="G149" s="28" t="inlineStr">
        <is>
          <t>G4S (Security)</t>
        </is>
      </c>
      <c r="H149" s="34" t="n">
        <v>8730</v>
      </c>
      <c r="I149" s="35" t="n">
        <v>3</v>
      </c>
      <c r="J149" s="35" t="n">
        <v>1</v>
      </c>
      <c r="K149" s="35" t="n">
        <v>1</v>
      </c>
      <c r="L149" s="35" t="n">
        <v>1</v>
      </c>
      <c r="M149" s="35" t="n">
        <v>2</v>
      </c>
      <c r="N149" s="35" t="n">
        <v>2</v>
      </c>
      <c r="O149" s="36" t="n">
        <v>0.901</v>
      </c>
      <c r="P149" s="35" t="n">
        <v>1</v>
      </c>
      <c r="Q149" s="35" t="n">
        <v>6</v>
      </c>
      <c r="R149" s="35" t="n">
        <v>7</v>
      </c>
      <c r="S149" s="35" t="n">
        <v>7</v>
      </c>
      <c r="T149" s="37" t="n">
        <v>0.947</v>
      </c>
      <c r="U149" s="38">
        <f>IFERROR([@InspDone]/[@InspPlanned],0)</f>
        <v/>
      </c>
      <c r="V149" s="38">
        <f>IFERROR([@ObsClosed]/[@ObsRaised],0)</f>
        <v/>
      </c>
    </row>
    <row r="150">
      <c r="A150" s="33" t="n">
        <v>45689</v>
      </c>
      <c r="B150" s="28">
        <f>YEAR([@Period])</f>
        <v/>
      </c>
      <c r="C150" s="28">
        <f>TEXT([@Period],"mmm")</f>
        <v/>
      </c>
      <c r="D150" s="30">
        <f>MONTH([@Period])</f>
        <v/>
      </c>
      <c r="E150" s="28" t="inlineStr">
        <is>
          <t>Nkran Open Pit</t>
        </is>
      </c>
      <c r="F150" s="28" t="inlineStr">
        <is>
          <t>Mining</t>
        </is>
      </c>
      <c r="G150" s="28" t="inlineStr">
        <is>
          <t>AUMS (Mining Contractor)</t>
        </is>
      </c>
      <c r="H150" s="34" t="n">
        <v>24360</v>
      </c>
      <c r="I150" s="35" t="n">
        <v>9</v>
      </c>
      <c r="J150" s="35" t="n">
        <v>5</v>
      </c>
      <c r="K150" s="35" t="n">
        <v>15</v>
      </c>
      <c r="L150" s="35" t="n">
        <v>15</v>
      </c>
      <c r="M150" s="35" t="n">
        <v>6</v>
      </c>
      <c r="N150" s="35" t="n">
        <v>5</v>
      </c>
      <c r="O150" s="36" t="n">
        <v>0.9399999999999999</v>
      </c>
      <c r="P150" s="35" t="n">
        <v>0</v>
      </c>
      <c r="Q150" s="35" t="n">
        <v>12</v>
      </c>
      <c r="R150" s="35" t="n">
        <v>20</v>
      </c>
      <c r="S150" s="35" t="n">
        <v>20</v>
      </c>
      <c r="T150" s="37" t="n">
        <v>0.968</v>
      </c>
      <c r="U150" s="38">
        <f>IFERROR([@InspDone]/[@InspPlanned],0)</f>
        <v/>
      </c>
      <c r="V150" s="38">
        <f>IFERROR([@ObsClosed]/[@ObsRaised],0)</f>
        <v/>
      </c>
    </row>
    <row r="151">
      <c r="A151" s="33" t="n">
        <v>45689</v>
      </c>
      <c r="B151" s="28">
        <f>YEAR([@Period])</f>
        <v/>
      </c>
      <c r="C151" s="28">
        <f>TEXT([@Period],"mmm")</f>
        <v/>
      </c>
      <c r="D151" s="30">
        <f>MONTH([@Period])</f>
        <v/>
      </c>
      <c r="E151" s="28" t="inlineStr">
        <is>
          <t>Esaase Open Pit</t>
        </is>
      </c>
      <c r="F151" s="28" t="inlineStr">
        <is>
          <t>Mining</t>
        </is>
      </c>
      <c r="G151" s="28" t="inlineStr">
        <is>
          <t>AUMS (Mining Contractor)</t>
        </is>
      </c>
      <c r="H151" s="34" t="n">
        <v>24090</v>
      </c>
      <c r="I151" s="35" t="n">
        <v>3</v>
      </c>
      <c r="J151" s="35" t="n">
        <v>6</v>
      </c>
      <c r="K151" s="35" t="n">
        <v>7</v>
      </c>
      <c r="L151" s="35" t="n">
        <v>6</v>
      </c>
      <c r="M151" s="35" t="n">
        <v>6</v>
      </c>
      <c r="N151" s="35" t="n">
        <v>5</v>
      </c>
      <c r="O151" s="36" t="n">
        <v>0.9350000000000001</v>
      </c>
      <c r="P151" s="35" t="n">
        <v>1</v>
      </c>
      <c r="Q151" s="35" t="n">
        <v>12</v>
      </c>
      <c r="R151" s="35" t="n">
        <v>18</v>
      </c>
      <c r="S151" s="35" t="n">
        <v>18</v>
      </c>
      <c r="T151" s="37" t="n">
        <v>0.889</v>
      </c>
      <c r="U151" s="38">
        <f>IFERROR([@InspDone]/[@InspPlanned],0)</f>
        <v/>
      </c>
      <c r="V151" s="38">
        <f>IFERROR([@ObsClosed]/[@ObsRaised],0)</f>
        <v/>
      </c>
    </row>
    <row r="152">
      <c r="A152" s="33" t="n">
        <v>45689</v>
      </c>
      <c r="B152" s="28">
        <f>YEAR([@Period])</f>
        <v/>
      </c>
      <c r="C152" s="28">
        <f>TEXT([@Period],"mmm")</f>
        <v/>
      </c>
      <c r="D152" s="30">
        <f>MONTH([@Period])</f>
        <v/>
      </c>
      <c r="E152" s="28" t="inlineStr">
        <is>
          <t>Drill &amp; Blast</t>
        </is>
      </c>
      <c r="F152" s="28" t="inlineStr">
        <is>
          <t>Mining</t>
        </is>
      </c>
      <c r="G152" s="28" t="inlineStr">
        <is>
          <t>Maxam (Blasting)</t>
        </is>
      </c>
      <c r="H152" s="34" t="n">
        <v>8520</v>
      </c>
      <c r="I152" s="35" t="n">
        <v>1</v>
      </c>
      <c r="J152" s="35" t="n">
        <v>1</v>
      </c>
      <c r="K152" s="35" t="n">
        <v>3</v>
      </c>
      <c r="L152" s="35" t="n">
        <v>3</v>
      </c>
      <c r="M152" s="35" t="n">
        <v>2</v>
      </c>
      <c r="N152" s="35" t="n">
        <v>2</v>
      </c>
      <c r="O152" s="36" t="n">
        <v>0.9330000000000001</v>
      </c>
      <c r="P152" s="35" t="n">
        <v>0</v>
      </c>
      <c r="Q152" s="35" t="n">
        <v>11</v>
      </c>
      <c r="R152" s="35" t="n">
        <v>6</v>
      </c>
      <c r="S152" s="35" t="n">
        <v>6</v>
      </c>
      <c r="T152" s="37" t="n">
        <v>0.9379999999999999</v>
      </c>
      <c r="U152" s="38">
        <f>IFERROR([@InspDone]/[@InspPlanned],0)</f>
        <v/>
      </c>
      <c r="V152" s="38">
        <f>IFERROR([@ObsClosed]/[@ObsRaised],0)</f>
        <v/>
      </c>
    </row>
    <row r="153">
      <c r="A153" s="33" t="n">
        <v>45689</v>
      </c>
      <c r="B153" s="28">
        <f>YEAR([@Period])</f>
        <v/>
      </c>
      <c r="C153" s="28">
        <f>TEXT([@Period],"mmm")</f>
        <v/>
      </c>
      <c r="D153" s="30">
        <f>MONTH([@Period])</f>
        <v/>
      </c>
      <c r="E153" s="28" t="inlineStr">
        <is>
          <t>Haul Roads</t>
        </is>
      </c>
      <c r="F153" s="28" t="inlineStr">
        <is>
          <t>Mining</t>
        </is>
      </c>
      <c r="G153" s="28" t="inlineStr">
        <is>
          <t>AUMS (Mining Contractor)</t>
        </is>
      </c>
      <c r="H153" s="34" t="n">
        <v>12240</v>
      </c>
      <c r="I153" s="35" t="n">
        <v>2</v>
      </c>
      <c r="J153" s="35" t="n">
        <v>0</v>
      </c>
      <c r="K153" s="35" t="n">
        <v>5</v>
      </c>
      <c r="L153" s="35" t="n">
        <v>4</v>
      </c>
      <c r="M153" s="35" t="n">
        <v>3</v>
      </c>
      <c r="N153" s="35" t="n">
        <v>3</v>
      </c>
      <c r="O153" s="36" t="n">
        <v>0.982</v>
      </c>
      <c r="P153" s="35" t="n">
        <v>1</v>
      </c>
      <c r="Q153" s="35" t="n">
        <v>4</v>
      </c>
      <c r="R153" s="35" t="n">
        <v>10</v>
      </c>
      <c r="S153" s="35" t="n">
        <v>10</v>
      </c>
      <c r="T153" s="37" t="n">
        <v>0.97</v>
      </c>
      <c r="U153" s="38">
        <f>IFERROR([@InspDone]/[@InspPlanned],0)</f>
        <v/>
      </c>
      <c r="V153" s="38">
        <f>IFERROR([@ObsClosed]/[@ObsRaised],0)</f>
        <v/>
      </c>
    </row>
    <row r="154">
      <c r="A154" s="33" t="n">
        <v>45689</v>
      </c>
      <c r="B154" s="28">
        <f>YEAR([@Period])</f>
        <v/>
      </c>
      <c r="C154" s="28">
        <f>TEXT([@Period],"mmm")</f>
        <v/>
      </c>
      <c r="D154" s="30">
        <f>MONTH([@Period])</f>
        <v/>
      </c>
      <c r="E154" s="28" t="inlineStr">
        <is>
          <t>Explosives Magazine</t>
        </is>
      </c>
      <c r="F154" s="28" t="inlineStr">
        <is>
          <t>Mining</t>
        </is>
      </c>
      <c r="G154" s="28" t="inlineStr">
        <is>
          <t>Maxam (Blasting)</t>
        </is>
      </c>
      <c r="H154" s="34" t="n">
        <v>3375</v>
      </c>
      <c r="I154" s="35" t="n">
        <v>0</v>
      </c>
      <c r="J154" s="35" t="n">
        <v>0</v>
      </c>
      <c r="K154" s="35" t="n">
        <v>1</v>
      </c>
      <c r="L154" s="35" t="n">
        <v>1</v>
      </c>
      <c r="M154" s="35" t="n">
        <v>2</v>
      </c>
      <c r="N154" s="35" t="n">
        <v>2</v>
      </c>
      <c r="O154" s="36" t="n">
        <v>0.9320000000000001</v>
      </c>
      <c r="P154" s="35" t="n">
        <v>1</v>
      </c>
      <c r="Q154" s="35" t="n">
        <v>0</v>
      </c>
      <c r="R154" s="35" t="n">
        <v>3</v>
      </c>
      <c r="S154" s="35" t="n">
        <v>3</v>
      </c>
      <c r="T154" s="37" t="n">
        <v>0.902</v>
      </c>
      <c r="U154" s="38">
        <f>IFERROR([@InspDone]/[@InspPlanned],0)</f>
        <v/>
      </c>
      <c r="V154" s="38">
        <f>IFERROR([@ObsClosed]/[@ObsRaised],0)</f>
        <v/>
      </c>
    </row>
    <row r="155">
      <c r="A155" s="33" t="n">
        <v>45689</v>
      </c>
      <c r="B155" s="28">
        <f>YEAR([@Period])</f>
        <v/>
      </c>
      <c r="C155" s="28">
        <f>TEXT([@Period],"mmm")</f>
        <v/>
      </c>
      <c r="D155" s="30">
        <f>MONTH([@Period])</f>
        <v/>
      </c>
      <c r="E155" s="28" t="inlineStr">
        <is>
          <t>Crushing Circuit</t>
        </is>
      </c>
      <c r="F155" s="28" t="inlineStr">
        <is>
          <t>Processing</t>
        </is>
      </c>
      <c r="G155" s="28" t="inlineStr">
        <is>
          <t>Owner (Asanko)</t>
        </is>
      </c>
      <c r="H155" s="34" t="n">
        <v>6440</v>
      </c>
      <c r="I155" s="35" t="n">
        <v>0</v>
      </c>
      <c r="J155" s="35" t="n">
        <v>2</v>
      </c>
      <c r="K155" s="35" t="n">
        <v>0</v>
      </c>
      <c r="L155" s="35" t="n">
        <v>0</v>
      </c>
      <c r="M155" s="35" t="n">
        <v>2</v>
      </c>
      <c r="N155" s="35" t="n">
        <v>2</v>
      </c>
      <c r="O155" s="36" t="n">
        <v>0.905</v>
      </c>
      <c r="P155" s="35" t="n">
        <v>1</v>
      </c>
      <c r="Q155" s="35" t="n">
        <v>4</v>
      </c>
      <c r="R155" s="35" t="n">
        <v>5</v>
      </c>
      <c r="S155" s="35" t="n">
        <v>5</v>
      </c>
      <c r="T155" s="37" t="n">
        <v>0.884</v>
      </c>
      <c r="U155" s="38">
        <f>IFERROR([@InspDone]/[@InspPlanned],0)</f>
        <v/>
      </c>
      <c r="V155" s="38">
        <f>IFERROR([@ObsClosed]/[@ObsRaised],0)</f>
        <v/>
      </c>
    </row>
    <row r="156">
      <c r="A156" s="33" t="n">
        <v>45689</v>
      </c>
      <c r="B156" s="28">
        <f>YEAR([@Period])</f>
        <v/>
      </c>
      <c r="C156" s="28">
        <f>TEXT([@Period],"mmm")</f>
        <v/>
      </c>
      <c r="D156" s="30">
        <f>MONTH([@Period])</f>
        <v/>
      </c>
      <c r="E156" s="28" t="inlineStr">
        <is>
          <t>Processing Plant (CIL)</t>
        </is>
      </c>
      <c r="F156" s="28" t="inlineStr">
        <is>
          <t>Processing</t>
        </is>
      </c>
      <c r="G156" s="28" t="inlineStr">
        <is>
          <t>Owner (Asanko)</t>
        </is>
      </c>
      <c r="H156" s="34" t="n">
        <v>18270</v>
      </c>
      <c r="I156" s="35" t="n">
        <v>2</v>
      </c>
      <c r="J156" s="35" t="n">
        <v>6</v>
      </c>
      <c r="K156" s="35" t="n">
        <v>5</v>
      </c>
      <c r="L156" s="35" t="n">
        <v>5</v>
      </c>
      <c r="M156" s="35" t="n">
        <v>5</v>
      </c>
      <c r="N156" s="35" t="n">
        <v>5</v>
      </c>
      <c r="O156" s="36" t="n">
        <v>0.897</v>
      </c>
      <c r="P156" s="35" t="n">
        <v>1</v>
      </c>
      <c r="Q156" s="35" t="n">
        <v>5</v>
      </c>
      <c r="R156" s="35" t="n">
        <v>15</v>
      </c>
      <c r="S156" s="35" t="n">
        <v>15</v>
      </c>
      <c r="T156" s="37" t="n">
        <v>0.913</v>
      </c>
      <c r="U156" s="38">
        <f>IFERROR([@InspDone]/[@InspPlanned],0)</f>
        <v/>
      </c>
      <c r="V156" s="38">
        <f>IFERROR([@ObsClosed]/[@ObsRaised],0)</f>
        <v/>
      </c>
    </row>
    <row r="157">
      <c r="A157" s="33" t="n">
        <v>45689</v>
      </c>
      <c r="B157" s="28">
        <f>YEAR([@Period])</f>
        <v/>
      </c>
      <c r="C157" s="28">
        <f>TEXT([@Period],"mmm")</f>
        <v/>
      </c>
      <c r="D157" s="30">
        <f>MONTH([@Period])</f>
        <v/>
      </c>
      <c r="E157" s="28" t="inlineStr">
        <is>
          <t>Elution &amp; Gold Room</t>
        </is>
      </c>
      <c r="F157" s="28" t="inlineStr">
        <is>
          <t>Processing</t>
        </is>
      </c>
      <c r="G157" s="28" t="inlineStr">
        <is>
          <t>Owner (Asanko)</t>
        </is>
      </c>
      <c r="H157" s="34" t="n">
        <v>4160</v>
      </c>
      <c r="I157" s="35" t="n">
        <v>1</v>
      </c>
      <c r="J157" s="35" t="n">
        <v>2</v>
      </c>
      <c r="K157" s="35" t="n">
        <v>5</v>
      </c>
      <c r="L157" s="35" t="n">
        <v>5</v>
      </c>
      <c r="M157" s="35" t="n">
        <v>2</v>
      </c>
      <c r="N157" s="35" t="n">
        <v>2</v>
      </c>
      <c r="O157" s="36" t="n">
        <v>0.904</v>
      </c>
      <c r="P157" s="35" t="n">
        <v>1</v>
      </c>
      <c r="Q157" s="35" t="n">
        <v>0</v>
      </c>
      <c r="R157" s="35" t="n">
        <v>3</v>
      </c>
      <c r="S157" s="35" t="n">
        <v>3</v>
      </c>
      <c r="T157" s="37" t="n">
        <v>0.983</v>
      </c>
      <c r="U157" s="38">
        <f>IFERROR([@InspDone]/[@InspPlanned],0)</f>
        <v/>
      </c>
      <c r="V157" s="38">
        <f>IFERROR([@ObsClosed]/[@ObsRaised],0)</f>
        <v/>
      </c>
    </row>
    <row r="158">
      <c r="A158" s="33" t="n">
        <v>45689</v>
      </c>
      <c r="B158" s="28">
        <f>YEAR([@Period])</f>
        <v/>
      </c>
      <c r="C158" s="28">
        <f>TEXT([@Period],"mmm")</f>
        <v/>
      </c>
      <c r="D158" s="30">
        <f>MONTH([@Period])</f>
        <v/>
      </c>
      <c r="E158" s="28" t="inlineStr">
        <is>
          <t>Tailings Storage Facility</t>
        </is>
      </c>
      <c r="F158" s="28" t="inlineStr">
        <is>
          <t>Environment</t>
        </is>
      </c>
      <c r="G158" s="28" t="inlineStr">
        <is>
          <t>Owner (Asanko)</t>
        </is>
      </c>
      <c r="H158" s="34" t="n">
        <v>4032</v>
      </c>
      <c r="I158" s="35" t="n">
        <v>1</v>
      </c>
      <c r="J158" s="35" t="n">
        <v>0</v>
      </c>
      <c r="K158" s="35" t="n">
        <v>1</v>
      </c>
      <c r="L158" s="35" t="n">
        <v>1</v>
      </c>
      <c r="M158" s="35" t="n">
        <v>2</v>
      </c>
      <c r="N158" s="35" t="n">
        <v>2</v>
      </c>
      <c r="O158" s="36" t="n">
        <v>0.985</v>
      </c>
      <c r="P158" s="35" t="n">
        <v>0</v>
      </c>
      <c r="Q158" s="35" t="n">
        <v>2</v>
      </c>
      <c r="R158" s="35" t="n">
        <v>3</v>
      </c>
      <c r="S158" s="35" t="n">
        <v>3</v>
      </c>
      <c r="T158" s="37" t="n">
        <v>0.888</v>
      </c>
      <c r="U158" s="38">
        <f>IFERROR([@InspDone]/[@InspPlanned],0)</f>
        <v/>
      </c>
      <c r="V158" s="38">
        <f>IFERROR([@ObsClosed]/[@ObsRaised],0)</f>
        <v/>
      </c>
    </row>
    <row r="159">
      <c r="A159" s="33" t="n">
        <v>45689</v>
      </c>
      <c r="B159" s="28">
        <f>YEAR([@Period])</f>
        <v/>
      </c>
      <c r="C159" s="28">
        <f>TEXT([@Period],"mmm")</f>
        <v/>
      </c>
      <c r="D159" s="30">
        <f>MONTH([@Period])</f>
        <v/>
      </c>
      <c r="E159" s="28" t="inlineStr">
        <is>
          <t>Water Treatment</t>
        </is>
      </c>
      <c r="F159" s="28" t="inlineStr">
        <is>
          <t>Environment</t>
        </is>
      </c>
      <c r="G159" s="28" t="inlineStr">
        <is>
          <t>Owner (Asanko)</t>
        </is>
      </c>
      <c r="H159" s="34" t="n">
        <v>2268</v>
      </c>
      <c r="I159" s="35" t="n">
        <v>2</v>
      </c>
      <c r="J159" s="35" t="n">
        <v>1</v>
      </c>
      <c r="K159" s="35" t="n">
        <v>3</v>
      </c>
      <c r="L159" s="35" t="n">
        <v>3</v>
      </c>
      <c r="M159" s="35" t="n">
        <v>2</v>
      </c>
      <c r="N159" s="35" t="n">
        <v>2</v>
      </c>
      <c r="O159" s="36" t="n">
        <v>0.881</v>
      </c>
      <c r="P159" s="35" t="n">
        <v>0</v>
      </c>
      <c r="Q159" s="35" t="n">
        <v>0</v>
      </c>
      <c r="R159" s="35" t="n">
        <v>3</v>
      </c>
      <c r="S159" s="35" t="n">
        <v>3</v>
      </c>
      <c r="T159" s="37" t="n">
        <v>0.921</v>
      </c>
      <c r="U159" s="38">
        <f>IFERROR([@InspDone]/[@InspPlanned],0)</f>
        <v/>
      </c>
      <c r="V159" s="38">
        <f>IFERROR([@ObsClosed]/[@ObsRaised],0)</f>
        <v/>
      </c>
    </row>
    <row r="160">
      <c r="A160" s="33" t="n">
        <v>45689</v>
      </c>
      <c r="B160" s="28">
        <f>YEAR([@Period])</f>
        <v/>
      </c>
      <c r="C160" s="28">
        <f>TEXT([@Period],"mmm")</f>
        <v/>
      </c>
      <c r="D160" s="30">
        <f>MONTH([@Period])</f>
        <v/>
      </c>
      <c r="E160" s="28" t="inlineStr">
        <is>
          <t>Assay Laboratory</t>
        </is>
      </c>
      <c r="F160" s="28" t="inlineStr">
        <is>
          <t>Laboratory</t>
        </is>
      </c>
      <c r="G160" s="28" t="inlineStr">
        <is>
          <t>SGS (Laboratory)</t>
        </is>
      </c>
      <c r="H160" s="34" t="n">
        <v>5450</v>
      </c>
      <c r="I160" s="35" t="n">
        <v>2</v>
      </c>
      <c r="J160" s="35" t="n">
        <v>0</v>
      </c>
      <c r="K160" s="35" t="n">
        <v>1</v>
      </c>
      <c r="L160" s="35" t="n">
        <v>1</v>
      </c>
      <c r="M160" s="35" t="n">
        <v>2</v>
      </c>
      <c r="N160" s="35" t="n">
        <v>2</v>
      </c>
      <c r="O160" s="36" t="n">
        <v>0.971</v>
      </c>
      <c r="P160" s="35" t="n">
        <v>1</v>
      </c>
      <c r="Q160" s="35" t="n">
        <v>5</v>
      </c>
      <c r="R160" s="35" t="n">
        <v>4</v>
      </c>
      <c r="S160" s="35" t="n">
        <v>4</v>
      </c>
      <c r="T160" s="37" t="n">
        <v>0.946</v>
      </c>
      <c r="U160" s="38">
        <f>IFERROR([@InspDone]/[@InspPlanned],0)</f>
        <v/>
      </c>
      <c r="V160" s="38">
        <f>IFERROR([@ObsClosed]/[@ObsRaised],0)</f>
        <v/>
      </c>
    </row>
    <row r="161">
      <c r="A161" s="33" t="n">
        <v>45689</v>
      </c>
      <c r="B161" s="28">
        <f>YEAR([@Period])</f>
        <v/>
      </c>
      <c r="C161" s="28">
        <f>TEXT([@Period],"mmm")</f>
        <v/>
      </c>
      <c r="D161" s="30">
        <f>MONTH([@Period])</f>
        <v/>
      </c>
      <c r="E161" s="28" t="inlineStr">
        <is>
          <t>HME Workshop</t>
        </is>
      </c>
      <c r="F161" s="28" t="inlineStr">
        <is>
          <t>Engineering</t>
        </is>
      </c>
      <c r="G161" s="28" t="inlineStr">
        <is>
          <t>Owner (Asanko)</t>
        </is>
      </c>
      <c r="H161" s="34" t="n">
        <v>10780</v>
      </c>
      <c r="I161" s="35" t="n">
        <v>3</v>
      </c>
      <c r="J161" s="35" t="n">
        <v>1</v>
      </c>
      <c r="K161" s="35" t="n">
        <v>3</v>
      </c>
      <c r="L161" s="35" t="n">
        <v>2</v>
      </c>
      <c r="M161" s="35" t="n">
        <v>3</v>
      </c>
      <c r="N161" s="35" t="n">
        <v>3</v>
      </c>
      <c r="O161" s="36" t="n">
        <v>0.973</v>
      </c>
      <c r="P161" s="35" t="n">
        <v>0</v>
      </c>
      <c r="Q161" s="35" t="n">
        <v>3</v>
      </c>
      <c r="R161" s="35" t="n">
        <v>9</v>
      </c>
      <c r="S161" s="35" t="n">
        <v>9</v>
      </c>
      <c r="T161" s="37" t="n">
        <v>0.994</v>
      </c>
      <c r="U161" s="38">
        <f>IFERROR([@InspDone]/[@InspPlanned],0)</f>
        <v/>
      </c>
      <c r="V161" s="38">
        <f>IFERROR([@ObsClosed]/[@ObsRaised],0)</f>
        <v/>
      </c>
    </row>
    <row r="162">
      <c r="A162" s="33" t="n">
        <v>45689</v>
      </c>
      <c r="B162" s="28">
        <f>YEAR([@Period])</f>
        <v/>
      </c>
      <c r="C162" s="28">
        <f>TEXT([@Period],"mmm")</f>
        <v/>
      </c>
      <c r="D162" s="30">
        <f>MONTH([@Period])</f>
        <v/>
      </c>
      <c r="E162" s="28" t="inlineStr">
        <is>
          <t>Fuel Farm</t>
        </is>
      </c>
      <c r="F162" s="28" t="inlineStr">
        <is>
          <t>Engineering</t>
        </is>
      </c>
      <c r="G162" s="28" t="inlineStr">
        <is>
          <t>Owner (Asanko)</t>
        </is>
      </c>
      <c r="H162" s="34" t="n">
        <v>2290</v>
      </c>
      <c r="I162" s="35" t="n">
        <v>3</v>
      </c>
      <c r="J162" s="35" t="n">
        <v>0</v>
      </c>
      <c r="K162" s="35" t="n">
        <v>1</v>
      </c>
      <c r="L162" s="35" t="n">
        <v>1</v>
      </c>
      <c r="M162" s="35" t="n">
        <v>2</v>
      </c>
      <c r="N162" s="35" t="n">
        <v>2</v>
      </c>
      <c r="O162" s="36" t="n">
        <v>0.99</v>
      </c>
      <c r="P162" s="35" t="n">
        <v>1</v>
      </c>
      <c r="Q162" s="35" t="n">
        <v>2</v>
      </c>
      <c r="R162" s="35" t="n">
        <v>3</v>
      </c>
      <c r="S162" s="35" t="n">
        <v>3</v>
      </c>
      <c r="T162" s="37" t="n">
        <v>0.945</v>
      </c>
      <c r="U162" s="38">
        <f>IFERROR([@InspDone]/[@InspPlanned],0)</f>
        <v/>
      </c>
      <c r="V162" s="38">
        <f>IFERROR([@ObsClosed]/[@ObsRaised],0)</f>
        <v/>
      </c>
    </row>
    <row r="163">
      <c r="A163" s="33" t="n">
        <v>45689</v>
      </c>
      <c r="B163" s="28">
        <f>YEAR([@Period])</f>
        <v/>
      </c>
      <c r="C163" s="28">
        <f>TEXT([@Period],"mmm")</f>
        <v/>
      </c>
      <c r="D163" s="30">
        <f>MONTH([@Period])</f>
        <v/>
      </c>
      <c r="E163" s="28" t="inlineStr">
        <is>
          <t>Power Station</t>
        </is>
      </c>
      <c r="F163" s="28" t="inlineStr">
        <is>
          <t>Engineering</t>
        </is>
      </c>
      <c r="G163" s="28" t="inlineStr">
        <is>
          <t>Genser (Power)</t>
        </is>
      </c>
      <c r="H163" s="34" t="n">
        <v>4972</v>
      </c>
      <c r="I163" s="35" t="n">
        <v>2</v>
      </c>
      <c r="J163" s="35" t="n">
        <v>1</v>
      </c>
      <c r="K163" s="35" t="n">
        <v>1</v>
      </c>
      <c r="L163" s="35" t="n">
        <v>1</v>
      </c>
      <c r="M163" s="35" t="n">
        <v>2</v>
      </c>
      <c r="N163" s="35" t="n">
        <v>2</v>
      </c>
      <c r="O163" s="36" t="n">
        <v>0.9389999999999999</v>
      </c>
      <c r="P163" s="35" t="n">
        <v>1</v>
      </c>
      <c r="Q163" s="35" t="n">
        <v>1</v>
      </c>
      <c r="R163" s="35" t="n">
        <v>3</v>
      </c>
      <c r="S163" s="35" t="n">
        <v>3</v>
      </c>
      <c r="T163" s="37" t="n">
        <v>0.967</v>
      </c>
      <c r="U163" s="38">
        <f>IFERROR([@InspDone]/[@InspPlanned],0)</f>
        <v/>
      </c>
      <c r="V163" s="38">
        <f>IFERROR([@ObsClosed]/[@ObsRaised],0)</f>
        <v/>
      </c>
    </row>
    <row r="164">
      <c r="A164" s="33" t="n">
        <v>45689</v>
      </c>
      <c r="B164" s="28">
        <f>YEAR([@Period])</f>
        <v/>
      </c>
      <c r="C164" s="28">
        <f>TEXT([@Period],"mmm")</f>
        <v/>
      </c>
      <c r="D164" s="30">
        <f>MONTH([@Period])</f>
        <v/>
      </c>
      <c r="E164" s="28" t="inlineStr">
        <is>
          <t>Warehouse &amp; Stores</t>
        </is>
      </c>
      <c r="F164" s="28" t="inlineStr">
        <is>
          <t>Logistics</t>
        </is>
      </c>
      <c r="G164" s="28" t="inlineStr">
        <is>
          <t>Owner (Asanko)</t>
        </is>
      </c>
      <c r="H164" s="34" t="n">
        <v>5184</v>
      </c>
      <c r="I164" s="35" t="n">
        <v>1</v>
      </c>
      <c r="J164" s="35" t="n">
        <v>1</v>
      </c>
      <c r="K164" s="35" t="n">
        <v>1</v>
      </c>
      <c r="L164" s="35" t="n">
        <v>1</v>
      </c>
      <c r="M164" s="35" t="n">
        <v>2</v>
      </c>
      <c r="N164" s="35" t="n">
        <v>2</v>
      </c>
      <c r="O164" s="36" t="n">
        <v>0.915</v>
      </c>
      <c r="P164" s="35" t="n">
        <v>0</v>
      </c>
      <c r="Q164" s="35" t="n">
        <v>2</v>
      </c>
      <c r="R164" s="35" t="n">
        <v>4</v>
      </c>
      <c r="S164" s="35" t="n">
        <v>4</v>
      </c>
      <c r="T164" s="37" t="n">
        <v>0.971</v>
      </c>
      <c r="U164" s="38">
        <f>IFERROR([@InspDone]/[@InspPlanned],0)</f>
        <v/>
      </c>
      <c r="V164" s="38">
        <f>IFERROR([@ObsClosed]/[@ObsRaised],0)</f>
        <v/>
      </c>
    </row>
    <row r="165">
      <c r="A165" s="33" t="n">
        <v>45689</v>
      </c>
      <c r="B165" s="28">
        <f>YEAR([@Period])</f>
        <v/>
      </c>
      <c r="C165" s="28">
        <f>TEXT([@Period],"mmm")</f>
        <v/>
      </c>
      <c r="D165" s="30">
        <f>MONTH([@Period])</f>
        <v/>
      </c>
      <c r="E165" s="28" t="inlineStr">
        <is>
          <t>Administration</t>
        </is>
      </c>
      <c r="F165" s="28" t="inlineStr">
        <is>
          <t>Administration</t>
        </is>
      </c>
      <c r="G165" s="28" t="inlineStr">
        <is>
          <t>Owner (Asanko)</t>
        </is>
      </c>
      <c r="H165" s="34" t="n">
        <v>11580</v>
      </c>
      <c r="I165" s="35" t="n">
        <v>3</v>
      </c>
      <c r="J165" s="35" t="n">
        <v>1</v>
      </c>
      <c r="K165" s="35" t="n">
        <v>4</v>
      </c>
      <c r="L165" s="35" t="n">
        <v>3</v>
      </c>
      <c r="M165" s="35" t="n">
        <v>3</v>
      </c>
      <c r="N165" s="35" t="n">
        <v>3</v>
      </c>
      <c r="O165" s="36" t="n">
        <v>0.986</v>
      </c>
      <c r="P165" s="35" t="n">
        <v>1</v>
      </c>
      <c r="Q165" s="35" t="n">
        <v>4</v>
      </c>
      <c r="R165" s="35" t="n">
        <v>10</v>
      </c>
      <c r="S165" s="35" t="n">
        <v>10</v>
      </c>
      <c r="T165" s="37" t="n">
        <v>0.898</v>
      </c>
      <c r="U165" s="38">
        <f>IFERROR([@InspDone]/[@InspPlanned],0)</f>
        <v/>
      </c>
      <c r="V165" s="38">
        <f>IFERROR([@ObsClosed]/[@ObsRaised],0)</f>
        <v/>
      </c>
    </row>
    <row r="166">
      <c r="A166" s="33" t="n">
        <v>45689</v>
      </c>
      <c r="B166" s="28">
        <f>YEAR([@Period])</f>
        <v/>
      </c>
      <c r="C166" s="28">
        <f>TEXT([@Period],"mmm")</f>
        <v/>
      </c>
      <c r="D166" s="30">
        <f>MONTH([@Period])</f>
        <v/>
      </c>
      <c r="E166" s="28" t="inlineStr">
        <is>
          <t>Accommodation Camp</t>
        </is>
      </c>
      <c r="F166" s="28" t="inlineStr">
        <is>
          <t>Administration</t>
        </is>
      </c>
      <c r="G166" s="28" t="inlineStr">
        <is>
          <t>Catering Co (Camp)</t>
        </is>
      </c>
      <c r="H166" s="34" t="n">
        <v>6330</v>
      </c>
      <c r="I166" s="35" t="n">
        <v>2</v>
      </c>
      <c r="J166" s="35" t="n">
        <v>0</v>
      </c>
      <c r="K166" s="35" t="n">
        <v>2</v>
      </c>
      <c r="L166" s="35" t="n">
        <v>2</v>
      </c>
      <c r="M166" s="35" t="n">
        <v>2</v>
      </c>
      <c r="N166" s="35" t="n">
        <v>2</v>
      </c>
      <c r="O166" s="36" t="n">
        <v>0.948</v>
      </c>
      <c r="P166" s="35" t="n">
        <v>0</v>
      </c>
      <c r="Q166" s="35" t="n">
        <v>2</v>
      </c>
      <c r="R166" s="35" t="n">
        <v>5</v>
      </c>
      <c r="S166" s="35" t="n">
        <v>5</v>
      </c>
      <c r="T166" s="37" t="n">
        <v>0.884</v>
      </c>
      <c r="U166" s="38">
        <f>IFERROR([@InspDone]/[@InspPlanned],0)</f>
        <v/>
      </c>
      <c r="V166" s="38">
        <f>IFERROR([@ObsClosed]/[@ObsRaised],0)</f>
        <v/>
      </c>
    </row>
    <row r="167">
      <c r="A167" s="33" t="n">
        <v>45689</v>
      </c>
      <c r="B167" s="28">
        <f>YEAR([@Period])</f>
        <v/>
      </c>
      <c r="C167" s="28">
        <f>TEXT([@Period],"mmm")</f>
        <v/>
      </c>
      <c r="D167" s="30">
        <f>MONTH([@Period])</f>
        <v/>
      </c>
      <c r="E167" s="28" t="inlineStr">
        <is>
          <t>Security Gatehouse</t>
        </is>
      </c>
      <c r="F167" s="28" t="inlineStr">
        <is>
          <t>Security</t>
        </is>
      </c>
      <c r="G167" s="28" t="inlineStr">
        <is>
          <t>G4S (Security)</t>
        </is>
      </c>
      <c r="H167" s="34" t="n">
        <v>10260</v>
      </c>
      <c r="I167" s="35" t="n">
        <v>4</v>
      </c>
      <c r="J167" s="35" t="n">
        <v>1</v>
      </c>
      <c r="K167" s="35" t="n">
        <v>2</v>
      </c>
      <c r="L167" s="35" t="n">
        <v>2</v>
      </c>
      <c r="M167" s="35" t="n">
        <v>2</v>
      </c>
      <c r="N167" s="35" t="n">
        <v>2</v>
      </c>
      <c r="O167" s="36" t="n">
        <v>0.985</v>
      </c>
      <c r="P167" s="35" t="n">
        <v>0</v>
      </c>
      <c r="Q167" s="35" t="n">
        <v>3</v>
      </c>
      <c r="R167" s="35" t="n">
        <v>7</v>
      </c>
      <c r="S167" s="35" t="n">
        <v>7</v>
      </c>
      <c r="T167" s="37" t="n">
        <v>0.882</v>
      </c>
      <c r="U167" s="38">
        <f>IFERROR([@InspDone]/[@InspPlanned],0)</f>
        <v/>
      </c>
      <c r="V167" s="38">
        <f>IFERROR([@ObsClosed]/[@ObsRaised],0)</f>
        <v/>
      </c>
    </row>
    <row r="168">
      <c r="A168" s="33" t="n">
        <v>45717</v>
      </c>
      <c r="B168" s="28">
        <f>YEAR([@Period])</f>
        <v/>
      </c>
      <c r="C168" s="28">
        <f>TEXT([@Period],"mmm")</f>
        <v/>
      </c>
      <c r="D168" s="30">
        <f>MONTH([@Period])</f>
        <v/>
      </c>
      <c r="E168" s="28" t="inlineStr">
        <is>
          <t>Nkran Open Pit</t>
        </is>
      </c>
      <c r="F168" s="28" t="inlineStr">
        <is>
          <t>Mining</t>
        </is>
      </c>
      <c r="G168" s="28" t="inlineStr">
        <is>
          <t>AUMS (Mining Contractor)</t>
        </is>
      </c>
      <c r="H168" s="34" t="n">
        <v>22320</v>
      </c>
      <c r="I168" s="35" t="n">
        <v>7</v>
      </c>
      <c r="J168" s="35" t="n">
        <v>5</v>
      </c>
      <c r="K168" s="35" t="n">
        <v>6</v>
      </c>
      <c r="L168" s="35" t="n">
        <v>5</v>
      </c>
      <c r="M168" s="35" t="n">
        <v>6</v>
      </c>
      <c r="N168" s="35" t="n">
        <v>6</v>
      </c>
      <c r="O168" s="36" t="n">
        <v>0.907</v>
      </c>
      <c r="P168" s="35" t="n">
        <v>1</v>
      </c>
      <c r="Q168" s="35" t="n">
        <v>17</v>
      </c>
      <c r="R168" s="35" t="n">
        <v>20</v>
      </c>
      <c r="S168" s="35" t="n">
        <v>19</v>
      </c>
      <c r="T168" s="37" t="n">
        <v>0.885</v>
      </c>
      <c r="U168" s="38">
        <f>IFERROR([@InspDone]/[@InspPlanned],0)</f>
        <v/>
      </c>
      <c r="V168" s="38">
        <f>IFERROR([@ObsClosed]/[@ObsRaised],0)</f>
        <v/>
      </c>
    </row>
    <row r="169">
      <c r="A169" s="33" t="n">
        <v>45717</v>
      </c>
      <c r="B169" s="28">
        <f>YEAR([@Period])</f>
        <v/>
      </c>
      <c r="C169" s="28">
        <f>TEXT([@Period],"mmm")</f>
        <v/>
      </c>
      <c r="D169" s="30">
        <f>MONTH([@Period])</f>
        <v/>
      </c>
      <c r="E169" s="28" t="inlineStr">
        <is>
          <t>Esaase Open Pit</t>
        </is>
      </c>
      <c r="F169" s="28" t="inlineStr">
        <is>
          <t>Mining</t>
        </is>
      </c>
      <c r="G169" s="28" t="inlineStr">
        <is>
          <t>AUMS (Mining Contractor)</t>
        </is>
      </c>
      <c r="H169" s="34" t="n">
        <v>24860</v>
      </c>
      <c r="I169" s="35" t="n">
        <v>8</v>
      </c>
      <c r="J169" s="35" t="n">
        <v>3</v>
      </c>
      <c r="K169" s="35" t="n">
        <v>12</v>
      </c>
      <c r="L169" s="35" t="n">
        <v>10</v>
      </c>
      <c r="M169" s="35" t="n">
        <v>6</v>
      </c>
      <c r="N169" s="35" t="n">
        <v>6</v>
      </c>
      <c r="O169" s="36" t="n">
        <v>0.9330000000000001</v>
      </c>
      <c r="P169" s="35" t="n">
        <v>0</v>
      </c>
      <c r="Q169" s="35" t="n">
        <v>7</v>
      </c>
      <c r="R169" s="35" t="n">
        <v>18</v>
      </c>
      <c r="S169" s="35" t="n">
        <v>17</v>
      </c>
      <c r="T169" s="37" t="n">
        <v>0.903</v>
      </c>
      <c r="U169" s="38">
        <f>IFERROR([@InspDone]/[@InspPlanned],0)</f>
        <v/>
      </c>
      <c r="V169" s="38">
        <f>IFERROR([@ObsClosed]/[@ObsRaised],0)</f>
        <v/>
      </c>
    </row>
    <row r="170">
      <c r="A170" s="33" t="n">
        <v>45717</v>
      </c>
      <c r="B170" s="28">
        <f>YEAR([@Period])</f>
        <v/>
      </c>
      <c r="C170" s="28">
        <f>TEXT([@Period],"mmm")</f>
        <v/>
      </c>
      <c r="D170" s="30">
        <f>MONTH([@Period])</f>
        <v/>
      </c>
      <c r="E170" s="28" t="inlineStr">
        <is>
          <t>Drill &amp; Blast</t>
        </is>
      </c>
      <c r="F170" s="28" t="inlineStr">
        <is>
          <t>Mining</t>
        </is>
      </c>
      <c r="G170" s="28" t="inlineStr">
        <is>
          <t>Maxam (Blasting)</t>
        </is>
      </c>
      <c r="H170" s="34" t="n">
        <v>7960</v>
      </c>
      <c r="I170" s="35" t="n">
        <v>2</v>
      </c>
      <c r="J170" s="35" t="n">
        <v>1</v>
      </c>
      <c r="K170" s="35" t="n">
        <v>1</v>
      </c>
      <c r="L170" s="35" t="n">
        <v>1</v>
      </c>
      <c r="M170" s="35" t="n">
        <v>2</v>
      </c>
      <c r="N170" s="35" t="n">
        <v>2</v>
      </c>
      <c r="O170" s="36" t="n">
        <v>0.968</v>
      </c>
      <c r="P170" s="35" t="n">
        <v>1</v>
      </c>
      <c r="Q170" s="35" t="n">
        <v>2</v>
      </c>
      <c r="R170" s="35" t="n">
        <v>6</v>
      </c>
      <c r="S170" s="35" t="n">
        <v>6</v>
      </c>
      <c r="T170" s="37" t="n">
        <v>0.982</v>
      </c>
      <c r="U170" s="38">
        <f>IFERROR([@InspDone]/[@InspPlanned],0)</f>
        <v/>
      </c>
      <c r="V170" s="38">
        <f>IFERROR([@ObsClosed]/[@ObsRaised],0)</f>
        <v/>
      </c>
    </row>
    <row r="171">
      <c r="A171" s="33" t="n">
        <v>45717</v>
      </c>
      <c r="B171" s="28">
        <f>YEAR([@Period])</f>
        <v/>
      </c>
      <c r="C171" s="28">
        <f>TEXT([@Period],"mmm")</f>
        <v/>
      </c>
      <c r="D171" s="30">
        <f>MONTH([@Period])</f>
        <v/>
      </c>
      <c r="E171" s="28" t="inlineStr">
        <is>
          <t>Haul Roads</t>
        </is>
      </c>
      <c r="F171" s="28" t="inlineStr">
        <is>
          <t>Mining</t>
        </is>
      </c>
      <c r="G171" s="28" t="inlineStr">
        <is>
          <t>AUMS (Mining Contractor)</t>
        </is>
      </c>
      <c r="H171" s="34" t="n">
        <v>12000</v>
      </c>
      <c r="I171" s="35" t="n">
        <v>3</v>
      </c>
      <c r="J171" s="35" t="n">
        <v>2</v>
      </c>
      <c r="K171" s="35" t="n">
        <v>6</v>
      </c>
      <c r="L171" s="35" t="n">
        <v>5</v>
      </c>
      <c r="M171" s="35" t="n">
        <v>3</v>
      </c>
      <c r="N171" s="35" t="n">
        <v>3</v>
      </c>
      <c r="O171" s="36" t="n">
        <v>0.883</v>
      </c>
      <c r="P171" s="35" t="n">
        <v>1</v>
      </c>
      <c r="Q171" s="35" t="n">
        <v>7</v>
      </c>
      <c r="R171" s="35" t="n">
        <v>10</v>
      </c>
      <c r="S171" s="35" t="n">
        <v>9</v>
      </c>
      <c r="T171" s="37" t="n">
        <v>0.962</v>
      </c>
      <c r="U171" s="38">
        <f>IFERROR([@InspDone]/[@InspPlanned],0)</f>
        <v/>
      </c>
      <c r="V171" s="38">
        <f>IFERROR([@ObsClosed]/[@ObsRaised],0)</f>
        <v/>
      </c>
    </row>
    <row r="172">
      <c r="A172" s="33" t="n">
        <v>45717</v>
      </c>
      <c r="B172" s="28">
        <f>YEAR([@Period])</f>
        <v/>
      </c>
      <c r="C172" s="28">
        <f>TEXT([@Period],"mmm")</f>
        <v/>
      </c>
      <c r="D172" s="30">
        <f>MONTH([@Period])</f>
        <v/>
      </c>
      <c r="E172" s="28" t="inlineStr">
        <is>
          <t>Explosives Magazine</t>
        </is>
      </c>
      <c r="F172" s="28" t="inlineStr">
        <is>
          <t>Mining</t>
        </is>
      </c>
      <c r="G172" s="28" t="inlineStr">
        <is>
          <t>Maxam (Blasting)</t>
        </is>
      </c>
      <c r="H172" s="34" t="n">
        <v>2865</v>
      </c>
      <c r="I172" s="35" t="n">
        <v>1</v>
      </c>
      <c r="J172" s="35" t="n">
        <v>3</v>
      </c>
      <c r="K172" s="35" t="n">
        <v>3</v>
      </c>
      <c r="L172" s="35" t="n">
        <v>3</v>
      </c>
      <c r="M172" s="35" t="n">
        <v>2</v>
      </c>
      <c r="N172" s="35" t="n">
        <v>2</v>
      </c>
      <c r="O172" s="36" t="n">
        <v>0.956</v>
      </c>
      <c r="P172" s="35" t="n">
        <v>0</v>
      </c>
      <c r="Q172" s="35" t="n">
        <v>1</v>
      </c>
      <c r="R172" s="35" t="n">
        <v>3</v>
      </c>
      <c r="S172" s="35" t="n">
        <v>3</v>
      </c>
      <c r="T172" s="37" t="n">
        <v>0.949</v>
      </c>
      <c r="U172" s="38">
        <f>IFERROR([@InspDone]/[@InspPlanned],0)</f>
        <v/>
      </c>
      <c r="V172" s="38">
        <f>IFERROR([@ObsClosed]/[@ObsRaised],0)</f>
        <v/>
      </c>
    </row>
    <row r="173">
      <c r="A173" s="33" t="n">
        <v>45717</v>
      </c>
      <c r="B173" s="28">
        <f>YEAR([@Period])</f>
        <v/>
      </c>
      <c r="C173" s="28">
        <f>TEXT([@Period],"mmm")</f>
        <v/>
      </c>
      <c r="D173" s="30">
        <f>MONTH([@Period])</f>
        <v/>
      </c>
      <c r="E173" s="28" t="inlineStr">
        <is>
          <t>Crushing Circuit</t>
        </is>
      </c>
      <c r="F173" s="28" t="inlineStr">
        <is>
          <t>Processing</t>
        </is>
      </c>
      <c r="G173" s="28" t="inlineStr">
        <is>
          <t>Owner (Asanko)</t>
        </is>
      </c>
      <c r="H173" s="34" t="n">
        <v>7175</v>
      </c>
      <c r="I173" s="35" t="n">
        <v>1</v>
      </c>
      <c r="J173" s="35" t="n">
        <v>1</v>
      </c>
      <c r="K173" s="35" t="n">
        <v>2</v>
      </c>
      <c r="L173" s="35" t="n">
        <v>2</v>
      </c>
      <c r="M173" s="35" t="n">
        <v>2</v>
      </c>
      <c r="N173" s="35" t="n">
        <v>2</v>
      </c>
      <c r="O173" s="36" t="n">
        <v>0.958</v>
      </c>
      <c r="P173" s="35" t="n">
        <v>0</v>
      </c>
      <c r="Q173" s="35" t="n">
        <v>9</v>
      </c>
      <c r="R173" s="35" t="n">
        <v>5</v>
      </c>
      <c r="S173" s="35" t="n">
        <v>5</v>
      </c>
      <c r="T173" s="37" t="n">
        <v>0.968</v>
      </c>
      <c r="U173" s="38">
        <f>IFERROR([@InspDone]/[@InspPlanned],0)</f>
        <v/>
      </c>
      <c r="V173" s="38">
        <f>IFERROR([@ObsClosed]/[@ObsRaised],0)</f>
        <v/>
      </c>
    </row>
    <row r="174">
      <c r="A174" s="33" t="n">
        <v>45717</v>
      </c>
      <c r="B174" s="28">
        <f>YEAR([@Period])</f>
        <v/>
      </c>
      <c r="C174" s="28">
        <f>TEXT([@Period],"mmm")</f>
        <v/>
      </c>
      <c r="D174" s="30">
        <f>MONTH([@Period])</f>
        <v/>
      </c>
      <c r="E174" s="28" t="inlineStr">
        <is>
          <t>Processing Plant (CIL)</t>
        </is>
      </c>
      <c r="F174" s="28" t="inlineStr">
        <is>
          <t>Processing</t>
        </is>
      </c>
      <c r="G174" s="28" t="inlineStr">
        <is>
          <t>Owner (Asanko)</t>
        </is>
      </c>
      <c r="H174" s="34" t="n">
        <v>16290</v>
      </c>
      <c r="I174" s="35" t="n">
        <v>3</v>
      </c>
      <c r="J174" s="35" t="n">
        <v>5</v>
      </c>
      <c r="K174" s="35" t="n">
        <v>9</v>
      </c>
      <c r="L174" s="35" t="n">
        <v>7</v>
      </c>
      <c r="M174" s="35" t="n">
        <v>5</v>
      </c>
      <c r="N174" s="35" t="n">
        <v>4</v>
      </c>
      <c r="O174" s="36" t="n">
        <v>0.896</v>
      </c>
      <c r="P174" s="35" t="n">
        <v>0</v>
      </c>
      <c r="Q174" s="35" t="n">
        <v>11</v>
      </c>
      <c r="R174" s="35" t="n">
        <v>15</v>
      </c>
      <c r="S174" s="35" t="n">
        <v>14</v>
      </c>
      <c r="T174" s="37" t="n">
        <v>0.913</v>
      </c>
      <c r="U174" s="38">
        <f>IFERROR([@InspDone]/[@InspPlanned],0)</f>
        <v/>
      </c>
      <c r="V174" s="38">
        <f>IFERROR([@ObsClosed]/[@ObsRaised],0)</f>
        <v/>
      </c>
    </row>
    <row r="175">
      <c r="A175" s="33" t="n">
        <v>45717</v>
      </c>
      <c r="B175" s="28">
        <f>YEAR([@Period])</f>
        <v/>
      </c>
      <c r="C175" s="28">
        <f>TEXT([@Period],"mmm")</f>
        <v/>
      </c>
      <c r="D175" s="30">
        <f>MONTH([@Period])</f>
        <v/>
      </c>
      <c r="E175" s="28" t="inlineStr">
        <is>
          <t>Elution &amp; Gold Room</t>
        </is>
      </c>
      <c r="F175" s="28" t="inlineStr">
        <is>
          <t>Processing</t>
        </is>
      </c>
      <c r="G175" s="28" t="inlineStr">
        <is>
          <t>Owner (Asanko)</t>
        </is>
      </c>
      <c r="H175" s="34" t="n">
        <v>3740</v>
      </c>
      <c r="I175" s="35" t="n">
        <v>0</v>
      </c>
      <c r="J175" s="35" t="n">
        <v>0</v>
      </c>
      <c r="K175" s="35" t="n">
        <v>1</v>
      </c>
      <c r="L175" s="35" t="n">
        <v>1</v>
      </c>
      <c r="M175" s="35" t="n">
        <v>2</v>
      </c>
      <c r="N175" s="35" t="n">
        <v>2</v>
      </c>
      <c r="O175" s="36" t="n">
        <v>0.9</v>
      </c>
      <c r="P175" s="35" t="n">
        <v>0</v>
      </c>
      <c r="Q175" s="35" t="n">
        <v>1</v>
      </c>
      <c r="R175" s="35" t="n">
        <v>3</v>
      </c>
      <c r="S175" s="35" t="n">
        <v>3</v>
      </c>
      <c r="T175" s="37" t="n">
        <v>0.9370000000000001</v>
      </c>
      <c r="U175" s="38">
        <f>IFERROR([@InspDone]/[@InspPlanned],0)</f>
        <v/>
      </c>
      <c r="V175" s="38">
        <f>IFERROR([@ObsClosed]/[@ObsRaised],0)</f>
        <v/>
      </c>
    </row>
    <row r="176">
      <c r="A176" s="33" t="n">
        <v>45717</v>
      </c>
      <c r="B176" s="28">
        <f>YEAR([@Period])</f>
        <v/>
      </c>
      <c r="C176" s="28">
        <f>TEXT([@Period],"mmm")</f>
        <v/>
      </c>
      <c r="D176" s="30">
        <f>MONTH([@Period])</f>
        <v/>
      </c>
      <c r="E176" s="28" t="inlineStr">
        <is>
          <t>Tailings Storage Facility</t>
        </is>
      </c>
      <c r="F176" s="28" t="inlineStr">
        <is>
          <t>Environment</t>
        </is>
      </c>
      <c r="G176" s="28" t="inlineStr">
        <is>
          <t>Owner (Asanko)</t>
        </is>
      </c>
      <c r="H176" s="34" t="n">
        <v>3618</v>
      </c>
      <c r="I176" s="35" t="n">
        <v>0</v>
      </c>
      <c r="J176" s="35" t="n">
        <v>2</v>
      </c>
      <c r="K176" s="35" t="n">
        <v>2</v>
      </c>
      <c r="L176" s="35" t="n">
        <v>2</v>
      </c>
      <c r="M176" s="35" t="n">
        <v>2</v>
      </c>
      <c r="N176" s="35" t="n">
        <v>2</v>
      </c>
      <c r="O176" s="36" t="n">
        <v>0.894</v>
      </c>
      <c r="P176" s="35" t="n">
        <v>0</v>
      </c>
      <c r="Q176" s="35" t="n">
        <v>3</v>
      </c>
      <c r="R176" s="35" t="n">
        <v>3</v>
      </c>
      <c r="S176" s="35" t="n">
        <v>3</v>
      </c>
      <c r="T176" s="37" t="n">
        <v>0.899</v>
      </c>
      <c r="U176" s="38">
        <f>IFERROR([@InspDone]/[@InspPlanned],0)</f>
        <v/>
      </c>
      <c r="V176" s="38">
        <f>IFERROR([@ObsClosed]/[@ObsRaised],0)</f>
        <v/>
      </c>
    </row>
    <row r="177">
      <c r="A177" s="33" t="n">
        <v>45717</v>
      </c>
      <c r="B177" s="28">
        <f>YEAR([@Period])</f>
        <v/>
      </c>
      <c r="C177" s="28">
        <f>TEXT([@Period],"mmm")</f>
        <v/>
      </c>
      <c r="D177" s="30">
        <f>MONTH([@Period])</f>
        <v/>
      </c>
      <c r="E177" s="28" t="inlineStr">
        <is>
          <t>Water Treatment</t>
        </is>
      </c>
      <c r="F177" s="28" t="inlineStr">
        <is>
          <t>Environment</t>
        </is>
      </c>
      <c r="G177" s="28" t="inlineStr">
        <is>
          <t>Owner (Asanko)</t>
        </is>
      </c>
      <c r="H177" s="34" t="n">
        <v>2328</v>
      </c>
      <c r="I177" s="35" t="n">
        <v>2</v>
      </c>
      <c r="J177" s="35" t="n">
        <v>1</v>
      </c>
      <c r="K177" s="35" t="n">
        <v>3</v>
      </c>
      <c r="L177" s="35" t="n">
        <v>2</v>
      </c>
      <c r="M177" s="35" t="n">
        <v>2</v>
      </c>
      <c r="N177" s="35" t="n">
        <v>2</v>
      </c>
      <c r="O177" s="36" t="n">
        <v>0.884</v>
      </c>
      <c r="P177" s="35" t="n">
        <v>1</v>
      </c>
      <c r="Q177" s="35" t="n">
        <v>2</v>
      </c>
      <c r="R177" s="35" t="n">
        <v>3</v>
      </c>
      <c r="S177" s="35" t="n">
        <v>3</v>
      </c>
      <c r="T177" s="37" t="n">
        <v>0.896</v>
      </c>
      <c r="U177" s="38">
        <f>IFERROR([@InspDone]/[@InspPlanned],0)</f>
        <v/>
      </c>
      <c r="V177" s="38">
        <f>IFERROR([@ObsClosed]/[@ObsRaised],0)</f>
        <v/>
      </c>
    </row>
    <row r="178">
      <c r="A178" s="33" t="n">
        <v>45717</v>
      </c>
      <c r="B178" s="28">
        <f>YEAR([@Period])</f>
        <v/>
      </c>
      <c r="C178" s="28">
        <f>TEXT([@Period],"mmm")</f>
        <v/>
      </c>
      <c r="D178" s="30">
        <f>MONTH([@Period])</f>
        <v/>
      </c>
      <c r="E178" s="28" t="inlineStr">
        <is>
          <t>Assay Laboratory</t>
        </is>
      </c>
      <c r="F178" s="28" t="inlineStr">
        <is>
          <t>Laboratory</t>
        </is>
      </c>
      <c r="G178" s="28" t="inlineStr">
        <is>
          <t>SGS (Laboratory)</t>
        </is>
      </c>
      <c r="H178" s="34" t="n">
        <v>5375</v>
      </c>
      <c r="I178" s="35" t="n">
        <v>2</v>
      </c>
      <c r="J178" s="35" t="n">
        <v>3</v>
      </c>
      <c r="K178" s="35" t="n">
        <v>2</v>
      </c>
      <c r="L178" s="35" t="n">
        <v>2</v>
      </c>
      <c r="M178" s="35" t="n">
        <v>2</v>
      </c>
      <c r="N178" s="35" t="n">
        <v>2</v>
      </c>
      <c r="O178" s="36" t="n">
        <v>0.908</v>
      </c>
      <c r="P178" s="35" t="n">
        <v>0</v>
      </c>
      <c r="Q178" s="35" t="n">
        <v>4</v>
      </c>
      <c r="R178" s="35" t="n">
        <v>4</v>
      </c>
      <c r="S178" s="35" t="n">
        <v>4</v>
      </c>
      <c r="T178" s="37" t="n">
        <v>0.9429999999999999</v>
      </c>
      <c r="U178" s="38">
        <f>IFERROR([@InspDone]/[@InspPlanned],0)</f>
        <v/>
      </c>
      <c r="V178" s="38">
        <f>IFERROR([@ObsClosed]/[@ObsRaised],0)</f>
        <v/>
      </c>
    </row>
    <row r="179">
      <c r="A179" s="33" t="n">
        <v>45717</v>
      </c>
      <c r="B179" s="28">
        <f>YEAR([@Period])</f>
        <v/>
      </c>
      <c r="C179" s="28">
        <f>TEXT([@Period],"mmm")</f>
        <v/>
      </c>
      <c r="D179" s="30">
        <f>MONTH([@Period])</f>
        <v/>
      </c>
      <c r="E179" s="28" t="inlineStr">
        <is>
          <t>HME Workshop</t>
        </is>
      </c>
      <c r="F179" s="28" t="inlineStr">
        <is>
          <t>Engineering</t>
        </is>
      </c>
      <c r="G179" s="28" t="inlineStr">
        <is>
          <t>Owner (Asanko)</t>
        </is>
      </c>
      <c r="H179" s="34" t="n">
        <v>12320</v>
      </c>
      <c r="I179" s="35" t="n">
        <v>3</v>
      </c>
      <c r="J179" s="35" t="n">
        <v>0</v>
      </c>
      <c r="K179" s="35" t="n">
        <v>3</v>
      </c>
      <c r="L179" s="35" t="n">
        <v>2</v>
      </c>
      <c r="M179" s="35" t="n">
        <v>3</v>
      </c>
      <c r="N179" s="35" t="n">
        <v>3</v>
      </c>
      <c r="O179" s="36" t="n">
        <v>0.908</v>
      </c>
      <c r="P179" s="35" t="n">
        <v>1</v>
      </c>
      <c r="Q179" s="35" t="n">
        <v>7</v>
      </c>
      <c r="R179" s="35" t="n">
        <v>9</v>
      </c>
      <c r="S179" s="35" t="n">
        <v>9</v>
      </c>
      <c r="T179" s="37" t="n">
        <v>0.945</v>
      </c>
      <c r="U179" s="38">
        <f>IFERROR([@InspDone]/[@InspPlanned],0)</f>
        <v/>
      </c>
      <c r="V179" s="38">
        <f>IFERROR([@ObsClosed]/[@ObsRaised],0)</f>
        <v/>
      </c>
    </row>
    <row r="180">
      <c r="A180" s="33" t="n">
        <v>45717</v>
      </c>
      <c r="B180" s="28">
        <f>YEAR([@Period])</f>
        <v/>
      </c>
      <c r="C180" s="28">
        <f>TEXT([@Period],"mmm")</f>
        <v/>
      </c>
      <c r="D180" s="30">
        <f>MONTH([@Period])</f>
        <v/>
      </c>
      <c r="E180" s="28" t="inlineStr">
        <is>
          <t>Fuel Farm</t>
        </is>
      </c>
      <c r="F180" s="28" t="inlineStr">
        <is>
          <t>Engineering</t>
        </is>
      </c>
      <c r="G180" s="28" t="inlineStr">
        <is>
          <t>Owner (Asanko)</t>
        </is>
      </c>
      <c r="H180" s="34" t="n">
        <v>2170</v>
      </c>
      <c r="I180" s="35" t="n">
        <v>1</v>
      </c>
      <c r="J180" s="35" t="n">
        <v>0</v>
      </c>
      <c r="K180" s="35" t="n">
        <v>2</v>
      </c>
      <c r="L180" s="35" t="n">
        <v>2</v>
      </c>
      <c r="M180" s="35" t="n">
        <v>2</v>
      </c>
      <c r="N180" s="35" t="n">
        <v>2</v>
      </c>
      <c r="O180" s="36" t="n">
        <v>0.985</v>
      </c>
      <c r="P180" s="35" t="n">
        <v>0</v>
      </c>
      <c r="Q180" s="35" t="n">
        <v>1</v>
      </c>
      <c r="R180" s="35" t="n">
        <v>3</v>
      </c>
      <c r="S180" s="35" t="n">
        <v>3</v>
      </c>
      <c r="T180" s="37" t="n">
        <v>0.97</v>
      </c>
      <c r="U180" s="38">
        <f>IFERROR([@InspDone]/[@InspPlanned],0)</f>
        <v/>
      </c>
      <c r="V180" s="38">
        <f>IFERROR([@ObsClosed]/[@ObsRaised],0)</f>
        <v/>
      </c>
    </row>
    <row r="181">
      <c r="A181" s="33" t="n">
        <v>45717</v>
      </c>
      <c r="B181" s="28">
        <f>YEAR([@Period])</f>
        <v/>
      </c>
      <c r="C181" s="28">
        <f>TEXT([@Period],"mmm")</f>
        <v/>
      </c>
      <c r="D181" s="30">
        <f>MONTH([@Period])</f>
        <v/>
      </c>
      <c r="E181" s="28" t="inlineStr">
        <is>
          <t>Power Station</t>
        </is>
      </c>
      <c r="F181" s="28" t="inlineStr">
        <is>
          <t>Engineering</t>
        </is>
      </c>
      <c r="G181" s="28" t="inlineStr">
        <is>
          <t>Genser (Power)</t>
        </is>
      </c>
      <c r="H181" s="34" t="n">
        <v>4774</v>
      </c>
      <c r="I181" s="35" t="n">
        <v>0</v>
      </c>
      <c r="J181" s="35" t="n">
        <v>0</v>
      </c>
      <c r="K181" s="35" t="n">
        <v>1</v>
      </c>
      <c r="L181" s="35" t="n">
        <v>1</v>
      </c>
      <c r="M181" s="35" t="n">
        <v>2</v>
      </c>
      <c r="N181" s="35" t="n">
        <v>2</v>
      </c>
      <c r="O181" s="36" t="n">
        <v>0.913</v>
      </c>
      <c r="P181" s="35" t="n">
        <v>1</v>
      </c>
      <c r="Q181" s="35" t="n">
        <v>0</v>
      </c>
      <c r="R181" s="35" t="n">
        <v>3</v>
      </c>
      <c r="S181" s="35" t="n">
        <v>3</v>
      </c>
      <c r="T181" s="37" t="n">
        <v>0.9330000000000001</v>
      </c>
      <c r="U181" s="38">
        <f>IFERROR([@InspDone]/[@InspPlanned],0)</f>
        <v/>
      </c>
      <c r="V181" s="38">
        <f>IFERROR([@ObsClosed]/[@ObsRaised],0)</f>
        <v/>
      </c>
    </row>
    <row r="182">
      <c r="A182" s="33" t="n">
        <v>45717</v>
      </c>
      <c r="B182" s="28">
        <f>YEAR([@Period])</f>
        <v/>
      </c>
      <c r="C182" s="28">
        <f>TEXT([@Period],"mmm")</f>
        <v/>
      </c>
      <c r="D182" s="30">
        <f>MONTH([@Period])</f>
        <v/>
      </c>
      <c r="E182" s="28" t="inlineStr">
        <is>
          <t>Warehouse &amp; Stores</t>
        </is>
      </c>
      <c r="F182" s="28" t="inlineStr">
        <is>
          <t>Logistics</t>
        </is>
      </c>
      <c r="G182" s="28" t="inlineStr">
        <is>
          <t>Owner (Asanko)</t>
        </is>
      </c>
      <c r="H182" s="34" t="n">
        <v>5016</v>
      </c>
      <c r="I182" s="35" t="n">
        <v>1</v>
      </c>
      <c r="J182" s="35" t="n">
        <v>0</v>
      </c>
      <c r="K182" s="35" t="n">
        <v>2</v>
      </c>
      <c r="L182" s="35" t="n">
        <v>2</v>
      </c>
      <c r="M182" s="35" t="n">
        <v>2</v>
      </c>
      <c r="N182" s="35" t="n">
        <v>2</v>
      </c>
      <c r="O182" s="36" t="n">
        <v>0.928</v>
      </c>
      <c r="P182" s="35" t="n">
        <v>1</v>
      </c>
      <c r="Q182" s="35" t="n">
        <v>1</v>
      </c>
      <c r="R182" s="35" t="n">
        <v>4</v>
      </c>
      <c r="S182" s="35" t="n">
        <v>4</v>
      </c>
      <c r="T182" s="37" t="n">
        <v>0.9399999999999999</v>
      </c>
      <c r="U182" s="38">
        <f>IFERROR([@InspDone]/[@InspPlanned],0)</f>
        <v/>
      </c>
      <c r="V182" s="38">
        <f>IFERROR([@ObsClosed]/[@ObsRaised],0)</f>
        <v/>
      </c>
    </row>
    <row r="183">
      <c r="A183" s="33" t="n">
        <v>45717</v>
      </c>
      <c r="B183" s="28">
        <f>YEAR([@Period])</f>
        <v/>
      </c>
      <c r="C183" s="28">
        <f>TEXT([@Period],"mmm")</f>
        <v/>
      </c>
      <c r="D183" s="30">
        <f>MONTH([@Period])</f>
        <v/>
      </c>
      <c r="E183" s="28" t="inlineStr">
        <is>
          <t>Administration</t>
        </is>
      </c>
      <c r="F183" s="28" t="inlineStr">
        <is>
          <t>Administration</t>
        </is>
      </c>
      <c r="G183" s="28" t="inlineStr">
        <is>
          <t>Owner (Asanko)</t>
        </is>
      </c>
      <c r="H183" s="34" t="n">
        <v>13380</v>
      </c>
      <c r="I183" s="35" t="n">
        <v>3</v>
      </c>
      <c r="J183" s="35" t="n">
        <v>2</v>
      </c>
      <c r="K183" s="35" t="n">
        <v>3</v>
      </c>
      <c r="L183" s="35" t="n">
        <v>3</v>
      </c>
      <c r="M183" s="35" t="n">
        <v>3</v>
      </c>
      <c r="N183" s="35" t="n">
        <v>3</v>
      </c>
      <c r="O183" s="36" t="n">
        <v>0.889</v>
      </c>
      <c r="P183" s="35" t="n">
        <v>1</v>
      </c>
      <c r="Q183" s="35" t="n">
        <v>4</v>
      </c>
      <c r="R183" s="35" t="n">
        <v>10</v>
      </c>
      <c r="S183" s="35" t="n">
        <v>10</v>
      </c>
      <c r="T183" s="37" t="n">
        <v>0.99</v>
      </c>
      <c r="U183" s="38">
        <f>IFERROR([@InspDone]/[@InspPlanned],0)</f>
        <v/>
      </c>
      <c r="V183" s="38">
        <f>IFERROR([@ObsClosed]/[@ObsRaised],0)</f>
        <v/>
      </c>
    </row>
    <row r="184">
      <c r="A184" s="33" t="n">
        <v>45717</v>
      </c>
      <c r="B184" s="28">
        <f>YEAR([@Period])</f>
        <v/>
      </c>
      <c r="C184" s="28">
        <f>TEXT([@Period],"mmm")</f>
        <v/>
      </c>
      <c r="D184" s="30">
        <f>MONTH([@Period])</f>
        <v/>
      </c>
      <c r="E184" s="28" t="inlineStr">
        <is>
          <t>Accommodation Camp</t>
        </is>
      </c>
      <c r="F184" s="28" t="inlineStr">
        <is>
          <t>Administration</t>
        </is>
      </c>
      <c r="G184" s="28" t="inlineStr">
        <is>
          <t>Catering Co (Camp)</t>
        </is>
      </c>
      <c r="H184" s="34" t="n">
        <v>5700</v>
      </c>
      <c r="I184" s="35" t="n">
        <v>3</v>
      </c>
      <c r="J184" s="35" t="n">
        <v>0</v>
      </c>
      <c r="K184" s="35" t="n">
        <v>2</v>
      </c>
      <c r="L184" s="35" t="n">
        <v>2</v>
      </c>
      <c r="M184" s="35" t="n">
        <v>2</v>
      </c>
      <c r="N184" s="35" t="n">
        <v>2</v>
      </c>
      <c r="O184" s="36" t="n">
        <v>0.916</v>
      </c>
      <c r="P184" s="35" t="n">
        <v>1</v>
      </c>
      <c r="Q184" s="35" t="n">
        <v>1</v>
      </c>
      <c r="R184" s="35" t="n">
        <v>5</v>
      </c>
      <c r="S184" s="35" t="n">
        <v>5</v>
      </c>
      <c r="T184" s="37" t="n">
        <v>0.981</v>
      </c>
      <c r="U184" s="38">
        <f>IFERROR([@InspDone]/[@InspPlanned],0)</f>
        <v/>
      </c>
      <c r="V184" s="38">
        <f>IFERROR([@ObsClosed]/[@ObsRaised],0)</f>
        <v/>
      </c>
    </row>
    <row r="185">
      <c r="A185" s="33" t="n">
        <v>45717</v>
      </c>
      <c r="B185" s="28">
        <f>YEAR([@Period])</f>
        <v/>
      </c>
      <c r="C185" s="28">
        <f>TEXT([@Period],"mmm")</f>
        <v/>
      </c>
      <c r="D185" s="30">
        <f>MONTH([@Period])</f>
        <v/>
      </c>
      <c r="E185" s="28" t="inlineStr">
        <is>
          <t>Security Gatehouse</t>
        </is>
      </c>
      <c r="F185" s="28" t="inlineStr">
        <is>
          <t>Security</t>
        </is>
      </c>
      <c r="G185" s="28" t="inlineStr">
        <is>
          <t>G4S (Security)</t>
        </is>
      </c>
      <c r="H185" s="34" t="n">
        <v>9315</v>
      </c>
      <c r="I185" s="35" t="n">
        <v>1</v>
      </c>
      <c r="J185" s="35" t="n">
        <v>0</v>
      </c>
      <c r="K185" s="35" t="n">
        <v>6</v>
      </c>
      <c r="L185" s="35" t="n">
        <v>5</v>
      </c>
      <c r="M185" s="35" t="n">
        <v>2</v>
      </c>
      <c r="N185" s="35" t="n">
        <v>2</v>
      </c>
      <c r="O185" s="36" t="n">
        <v>0.9379999999999999</v>
      </c>
      <c r="P185" s="35" t="n">
        <v>1</v>
      </c>
      <c r="Q185" s="35" t="n">
        <v>2</v>
      </c>
      <c r="R185" s="35" t="n">
        <v>7</v>
      </c>
      <c r="S185" s="35" t="n">
        <v>6</v>
      </c>
      <c r="T185" s="37" t="n">
        <v>0.9399999999999999</v>
      </c>
      <c r="U185" s="38">
        <f>IFERROR([@InspDone]/[@InspPlanned],0)</f>
        <v/>
      </c>
      <c r="V185" s="38">
        <f>IFERROR([@ObsClosed]/[@ObsRaised],0)</f>
        <v/>
      </c>
    </row>
    <row r="186">
      <c r="A186" s="33" t="n">
        <v>45748</v>
      </c>
      <c r="B186" s="28">
        <f>YEAR([@Period])</f>
        <v/>
      </c>
      <c r="C186" s="28">
        <f>TEXT([@Period],"mmm")</f>
        <v/>
      </c>
      <c r="D186" s="30">
        <f>MONTH([@Period])</f>
        <v/>
      </c>
      <c r="E186" s="28" t="inlineStr">
        <is>
          <t>Nkran Open Pit</t>
        </is>
      </c>
      <c r="F186" s="28" t="inlineStr">
        <is>
          <t>Mining</t>
        </is>
      </c>
      <c r="G186" s="28" t="inlineStr">
        <is>
          <t>AUMS (Mining Contractor)</t>
        </is>
      </c>
      <c r="H186" s="34" t="n">
        <v>27480</v>
      </c>
      <c r="I186" s="35" t="n">
        <v>7</v>
      </c>
      <c r="J186" s="35" t="n">
        <v>7</v>
      </c>
      <c r="K186" s="35" t="n">
        <v>13</v>
      </c>
      <c r="L186" s="35" t="n">
        <v>10</v>
      </c>
      <c r="M186" s="35" t="n">
        <v>6</v>
      </c>
      <c r="N186" s="35" t="n">
        <v>5</v>
      </c>
      <c r="O186" s="36" t="n">
        <v>0.898</v>
      </c>
      <c r="P186" s="35" t="n">
        <v>1</v>
      </c>
      <c r="Q186" s="35" t="n">
        <v>17</v>
      </c>
      <c r="R186" s="35" t="n">
        <v>20</v>
      </c>
      <c r="S186" s="35" t="n">
        <v>19</v>
      </c>
      <c r="T186" s="37" t="n">
        <v>0.931</v>
      </c>
      <c r="U186" s="38">
        <f>IFERROR([@InspDone]/[@InspPlanned],0)</f>
        <v/>
      </c>
      <c r="V186" s="38">
        <f>IFERROR([@ObsClosed]/[@ObsRaised],0)</f>
        <v/>
      </c>
    </row>
    <row r="187">
      <c r="A187" s="33" t="n">
        <v>45748</v>
      </c>
      <c r="B187" s="28">
        <f>YEAR([@Period])</f>
        <v/>
      </c>
      <c r="C187" s="28">
        <f>TEXT([@Period],"mmm")</f>
        <v/>
      </c>
      <c r="D187" s="30">
        <f>MONTH([@Period])</f>
        <v/>
      </c>
      <c r="E187" s="28" t="inlineStr">
        <is>
          <t>Esaase Open Pit</t>
        </is>
      </c>
      <c r="F187" s="28" t="inlineStr">
        <is>
          <t>Mining</t>
        </is>
      </c>
      <c r="G187" s="28" t="inlineStr">
        <is>
          <t>AUMS (Mining Contractor)</t>
        </is>
      </c>
      <c r="H187" s="34" t="n">
        <v>21230</v>
      </c>
      <c r="I187" s="35" t="n">
        <v>3</v>
      </c>
      <c r="J187" s="35" t="n">
        <v>4</v>
      </c>
      <c r="K187" s="35" t="n">
        <v>6</v>
      </c>
      <c r="L187" s="35" t="n">
        <v>6</v>
      </c>
      <c r="M187" s="35" t="n">
        <v>6</v>
      </c>
      <c r="N187" s="35" t="n">
        <v>5</v>
      </c>
      <c r="O187" s="36" t="n">
        <v>0.969</v>
      </c>
      <c r="P187" s="35" t="n">
        <v>0</v>
      </c>
      <c r="Q187" s="35" t="n">
        <v>13</v>
      </c>
      <c r="R187" s="35" t="n">
        <v>18</v>
      </c>
      <c r="S187" s="35" t="n">
        <v>17</v>
      </c>
      <c r="T187" s="37" t="n">
        <v>0.909</v>
      </c>
      <c r="U187" s="38">
        <f>IFERROR([@InspDone]/[@InspPlanned],0)</f>
        <v/>
      </c>
      <c r="V187" s="38">
        <f>IFERROR([@ObsClosed]/[@ObsRaised],0)</f>
        <v/>
      </c>
    </row>
    <row r="188">
      <c r="A188" s="33" t="n">
        <v>45748</v>
      </c>
      <c r="B188" s="28">
        <f>YEAR([@Period])</f>
        <v/>
      </c>
      <c r="C188" s="28">
        <f>TEXT([@Period],"mmm")</f>
        <v/>
      </c>
      <c r="D188" s="30">
        <f>MONTH([@Period])</f>
        <v/>
      </c>
      <c r="E188" s="28" t="inlineStr">
        <is>
          <t>Drill &amp; Blast</t>
        </is>
      </c>
      <c r="F188" s="28" t="inlineStr">
        <is>
          <t>Mining</t>
        </is>
      </c>
      <c r="G188" s="28" t="inlineStr">
        <is>
          <t>Maxam (Blasting)</t>
        </is>
      </c>
      <c r="H188" s="34" t="n">
        <v>7600</v>
      </c>
      <c r="I188" s="35" t="n">
        <v>2</v>
      </c>
      <c r="J188" s="35" t="n">
        <v>2</v>
      </c>
      <c r="K188" s="35" t="n">
        <v>3</v>
      </c>
      <c r="L188" s="35" t="n">
        <v>3</v>
      </c>
      <c r="M188" s="35" t="n">
        <v>2</v>
      </c>
      <c r="N188" s="35" t="n">
        <v>2</v>
      </c>
      <c r="O188" s="36" t="n">
        <v>0.949</v>
      </c>
      <c r="P188" s="35" t="n">
        <v>0</v>
      </c>
      <c r="Q188" s="35" t="n">
        <v>4</v>
      </c>
      <c r="R188" s="35" t="n">
        <v>6</v>
      </c>
      <c r="S188" s="35" t="n">
        <v>6</v>
      </c>
      <c r="T188" s="37" t="n">
        <v>0.927</v>
      </c>
      <c r="U188" s="38">
        <f>IFERROR([@InspDone]/[@InspPlanned],0)</f>
        <v/>
      </c>
      <c r="V188" s="38">
        <f>IFERROR([@ObsClosed]/[@ObsRaised],0)</f>
        <v/>
      </c>
    </row>
    <row r="189">
      <c r="A189" s="33" t="n">
        <v>45748</v>
      </c>
      <c r="B189" s="28">
        <f>YEAR([@Period])</f>
        <v/>
      </c>
      <c r="C189" s="28">
        <f>TEXT([@Period],"mmm")</f>
        <v/>
      </c>
      <c r="D189" s="30">
        <f>MONTH([@Period])</f>
        <v/>
      </c>
      <c r="E189" s="28" t="inlineStr">
        <is>
          <t>Haul Roads</t>
        </is>
      </c>
      <c r="F189" s="28" t="inlineStr">
        <is>
          <t>Mining</t>
        </is>
      </c>
      <c r="G189" s="28" t="inlineStr">
        <is>
          <t>AUMS (Mining Contractor)</t>
        </is>
      </c>
      <c r="H189" s="34" t="n">
        <v>12720</v>
      </c>
      <c r="I189" s="35" t="n">
        <v>1</v>
      </c>
      <c r="J189" s="35" t="n">
        <v>1</v>
      </c>
      <c r="K189" s="35" t="n">
        <v>7</v>
      </c>
      <c r="L189" s="35" t="n">
        <v>6</v>
      </c>
      <c r="M189" s="35" t="n">
        <v>3</v>
      </c>
      <c r="N189" s="35" t="n">
        <v>3</v>
      </c>
      <c r="O189" s="36" t="n">
        <v>0.962</v>
      </c>
      <c r="P189" s="35" t="n">
        <v>1</v>
      </c>
      <c r="Q189" s="35" t="n">
        <v>5</v>
      </c>
      <c r="R189" s="35" t="n">
        <v>10</v>
      </c>
      <c r="S189" s="35" t="n">
        <v>9</v>
      </c>
      <c r="T189" s="37" t="n">
        <v>0.926</v>
      </c>
      <c r="U189" s="38">
        <f>IFERROR([@InspDone]/[@InspPlanned],0)</f>
        <v/>
      </c>
      <c r="V189" s="38">
        <f>IFERROR([@ObsClosed]/[@ObsRaised],0)</f>
        <v/>
      </c>
    </row>
    <row r="190">
      <c r="A190" s="33" t="n">
        <v>45748</v>
      </c>
      <c r="B190" s="28">
        <f>YEAR([@Period])</f>
        <v/>
      </c>
      <c r="C190" s="28">
        <f>TEXT([@Period],"mmm")</f>
        <v/>
      </c>
      <c r="D190" s="30">
        <f>MONTH([@Period])</f>
        <v/>
      </c>
      <c r="E190" s="28" t="inlineStr">
        <is>
          <t>Explosives Magazine</t>
        </is>
      </c>
      <c r="F190" s="28" t="inlineStr">
        <is>
          <t>Mining</t>
        </is>
      </c>
      <c r="G190" s="28" t="inlineStr">
        <is>
          <t>Maxam (Blasting)</t>
        </is>
      </c>
      <c r="H190" s="34" t="n">
        <v>3375</v>
      </c>
      <c r="I190" s="35" t="n">
        <v>0</v>
      </c>
      <c r="J190" s="35" t="n">
        <v>4</v>
      </c>
      <c r="K190" s="35" t="n">
        <v>1</v>
      </c>
      <c r="L190" s="35" t="n">
        <v>1</v>
      </c>
      <c r="M190" s="35" t="n">
        <v>2</v>
      </c>
      <c r="N190" s="35" t="n">
        <v>2</v>
      </c>
      <c r="O190" s="36" t="n">
        <v>0.9350000000000001</v>
      </c>
      <c r="P190" s="35" t="n">
        <v>1</v>
      </c>
      <c r="Q190" s="35" t="n">
        <v>1</v>
      </c>
      <c r="R190" s="35" t="n">
        <v>3</v>
      </c>
      <c r="S190" s="35" t="n">
        <v>3</v>
      </c>
      <c r="T190" s="37" t="n">
        <v>0.966</v>
      </c>
      <c r="U190" s="38">
        <f>IFERROR([@InspDone]/[@InspPlanned],0)</f>
        <v/>
      </c>
      <c r="V190" s="38">
        <f>IFERROR([@ObsClosed]/[@ObsRaised],0)</f>
        <v/>
      </c>
    </row>
    <row r="191">
      <c r="A191" s="33" t="n">
        <v>45748</v>
      </c>
      <c r="B191" s="28">
        <f>YEAR([@Period])</f>
        <v/>
      </c>
      <c r="C191" s="28">
        <f>TEXT([@Period],"mmm")</f>
        <v/>
      </c>
      <c r="D191" s="30">
        <f>MONTH([@Period])</f>
        <v/>
      </c>
      <c r="E191" s="28" t="inlineStr">
        <is>
          <t>Crushing Circuit</t>
        </is>
      </c>
      <c r="F191" s="28" t="inlineStr">
        <is>
          <t>Processing</t>
        </is>
      </c>
      <c r="G191" s="28" t="inlineStr">
        <is>
          <t>Owner (Asanko)</t>
        </is>
      </c>
      <c r="H191" s="34" t="n">
        <v>6930</v>
      </c>
      <c r="I191" s="35" t="n">
        <v>3</v>
      </c>
      <c r="J191" s="35" t="n">
        <v>1</v>
      </c>
      <c r="K191" s="35" t="n">
        <v>3</v>
      </c>
      <c r="L191" s="35" t="n">
        <v>3</v>
      </c>
      <c r="M191" s="35" t="n">
        <v>2</v>
      </c>
      <c r="N191" s="35" t="n">
        <v>2</v>
      </c>
      <c r="O191" s="36" t="n">
        <v>0.948</v>
      </c>
      <c r="P191" s="35" t="n">
        <v>0</v>
      </c>
      <c r="Q191" s="35" t="n">
        <v>7</v>
      </c>
      <c r="R191" s="35" t="n">
        <v>5</v>
      </c>
      <c r="S191" s="35" t="n">
        <v>5</v>
      </c>
      <c r="T191" s="37" t="n">
        <v>0.909</v>
      </c>
      <c r="U191" s="38">
        <f>IFERROR([@InspDone]/[@InspPlanned],0)</f>
        <v/>
      </c>
      <c r="V191" s="38">
        <f>IFERROR([@ObsClosed]/[@ObsRaised],0)</f>
        <v/>
      </c>
    </row>
    <row r="192">
      <c r="A192" s="33" t="n">
        <v>45748</v>
      </c>
      <c r="B192" s="28">
        <f>YEAR([@Period])</f>
        <v/>
      </c>
      <c r="C192" s="28">
        <f>TEXT([@Period],"mmm")</f>
        <v/>
      </c>
      <c r="D192" s="30">
        <f>MONTH([@Period])</f>
        <v/>
      </c>
      <c r="E192" s="28" t="inlineStr">
        <is>
          <t>Processing Plant (CIL)</t>
        </is>
      </c>
      <c r="F192" s="28" t="inlineStr">
        <is>
          <t>Processing</t>
        </is>
      </c>
      <c r="G192" s="28" t="inlineStr">
        <is>
          <t>Owner (Asanko)</t>
        </is>
      </c>
      <c r="H192" s="34" t="n">
        <v>20070</v>
      </c>
      <c r="I192" s="35" t="n">
        <v>3</v>
      </c>
      <c r="J192" s="35" t="n">
        <v>2</v>
      </c>
      <c r="K192" s="35" t="n">
        <v>4</v>
      </c>
      <c r="L192" s="35" t="n">
        <v>3</v>
      </c>
      <c r="M192" s="35" t="n">
        <v>5</v>
      </c>
      <c r="N192" s="35" t="n">
        <v>4</v>
      </c>
      <c r="O192" s="36" t="n">
        <v>0.884</v>
      </c>
      <c r="P192" s="35" t="n">
        <v>1</v>
      </c>
      <c r="Q192" s="35" t="n">
        <v>11</v>
      </c>
      <c r="R192" s="35" t="n">
        <v>15</v>
      </c>
      <c r="S192" s="35" t="n">
        <v>14</v>
      </c>
      <c r="T192" s="37" t="n">
        <v>0.917</v>
      </c>
      <c r="U192" s="38">
        <f>IFERROR([@InspDone]/[@InspPlanned],0)</f>
        <v/>
      </c>
      <c r="V192" s="38">
        <f>IFERROR([@ObsClosed]/[@ObsRaised],0)</f>
        <v/>
      </c>
    </row>
    <row r="193">
      <c r="A193" s="33" t="n">
        <v>45748</v>
      </c>
      <c r="B193" s="28">
        <f>YEAR([@Period])</f>
        <v/>
      </c>
      <c r="C193" s="28">
        <f>TEXT([@Period],"mmm")</f>
        <v/>
      </c>
      <c r="D193" s="30">
        <f>MONTH([@Period])</f>
        <v/>
      </c>
      <c r="E193" s="28" t="inlineStr">
        <is>
          <t>Elution &amp; Gold Room</t>
        </is>
      </c>
      <c r="F193" s="28" t="inlineStr">
        <is>
          <t>Processing</t>
        </is>
      </c>
      <c r="G193" s="28" t="inlineStr">
        <is>
          <t>Owner (Asanko)</t>
        </is>
      </c>
      <c r="H193" s="34" t="n">
        <v>4380</v>
      </c>
      <c r="I193" s="35" t="n">
        <v>0</v>
      </c>
      <c r="J193" s="35" t="n">
        <v>0</v>
      </c>
      <c r="K193" s="35" t="n">
        <v>1</v>
      </c>
      <c r="L193" s="35" t="n">
        <v>1</v>
      </c>
      <c r="M193" s="35" t="n">
        <v>2</v>
      </c>
      <c r="N193" s="35" t="n">
        <v>2</v>
      </c>
      <c r="O193" s="36" t="n">
        <v>0.881</v>
      </c>
      <c r="P193" s="35" t="n">
        <v>0</v>
      </c>
      <c r="Q193" s="35" t="n">
        <v>3</v>
      </c>
      <c r="R193" s="35" t="n">
        <v>3</v>
      </c>
      <c r="S193" s="35" t="n">
        <v>3</v>
      </c>
      <c r="T193" s="37" t="n">
        <v>0.9</v>
      </c>
      <c r="U193" s="38">
        <f>IFERROR([@InspDone]/[@InspPlanned],0)</f>
        <v/>
      </c>
      <c r="V193" s="38">
        <f>IFERROR([@ObsClosed]/[@ObsRaised],0)</f>
        <v/>
      </c>
    </row>
    <row r="194">
      <c r="A194" s="33" t="n">
        <v>45748</v>
      </c>
      <c r="B194" s="28">
        <f>YEAR([@Period])</f>
        <v/>
      </c>
      <c r="C194" s="28">
        <f>TEXT([@Period],"mmm")</f>
        <v/>
      </c>
      <c r="D194" s="30">
        <f>MONTH([@Period])</f>
        <v/>
      </c>
      <c r="E194" s="28" t="inlineStr">
        <is>
          <t>Tailings Storage Facility</t>
        </is>
      </c>
      <c r="F194" s="28" t="inlineStr">
        <is>
          <t>Environment</t>
        </is>
      </c>
      <c r="G194" s="28" t="inlineStr">
        <is>
          <t>Owner (Asanko)</t>
        </is>
      </c>
      <c r="H194" s="34" t="n">
        <v>4086</v>
      </c>
      <c r="I194" s="35" t="n">
        <v>0</v>
      </c>
      <c r="J194" s="35" t="n">
        <v>1</v>
      </c>
      <c r="K194" s="35" t="n">
        <v>2</v>
      </c>
      <c r="L194" s="35" t="n">
        <v>2</v>
      </c>
      <c r="M194" s="35" t="n">
        <v>2</v>
      </c>
      <c r="N194" s="35" t="n">
        <v>2</v>
      </c>
      <c r="O194" s="36" t="n">
        <v>0.969</v>
      </c>
      <c r="P194" s="35" t="n">
        <v>0</v>
      </c>
      <c r="Q194" s="35" t="n">
        <v>3</v>
      </c>
      <c r="R194" s="35" t="n">
        <v>3</v>
      </c>
      <c r="S194" s="35" t="n">
        <v>3</v>
      </c>
      <c r="T194" s="37" t="n">
        <v>0.905</v>
      </c>
      <c r="U194" s="38">
        <f>IFERROR([@InspDone]/[@InspPlanned],0)</f>
        <v/>
      </c>
      <c r="V194" s="38">
        <f>IFERROR([@ObsClosed]/[@ObsRaised],0)</f>
        <v/>
      </c>
    </row>
    <row r="195">
      <c r="A195" s="33" t="n">
        <v>45748</v>
      </c>
      <c r="B195" s="28">
        <f>YEAR([@Period])</f>
        <v/>
      </c>
      <c r="C195" s="28">
        <f>TEXT([@Period],"mmm")</f>
        <v/>
      </c>
      <c r="D195" s="30">
        <f>MONTH([@Period])</f>
        <v/>
      </c>
      <c r="E195" s="28" t="inlineStr">
        <is>
          <t>Water Treatment</t>
        </is>
      </c>
      <c r="F195" s="28" t="inlineStr">
        <is>
          <t>Environment</t>
        </is>
      </c>
      <c r="G195" s="28" t="inlineStr">
        <is>
          <t>Owner (Asanko)</t>
        </is>
      </c>
      <c r="H195" s="34" t="n">
        <v>2736</v>
      </c>
      <c r="I195" s="35" t="n">
        <v>0</v>
      </c>
      <c r="J195" s="35" t="n">
        <v>0</v>
      </c>
      <c r="K195" s="35" t="n">
        <v>3</v>
      </c>
      <c r="L195" s="35" t="n">
        <v>3</v>
      </c>
      <c r="M195" s="35" t="n">
        <v>2</v>
      </c>
      <c r="N195" s="35" t="n">
        <v>2</v>
      </c>
      <c r="O195" s="36" t="n">
        <v>0.981</v>
      </c>
      <c r="P195" s="35" t="n">
        <v>1</v>
      </c>
      <c r="Q195" s="35" t="n">
        <v>3</v>
      </c>
      <c r="R195" s="35" t="n">
        <v>3</v>
      </c>
      <c r="S195" s="35" t="n">
        <v>3</v>
      </c>
      <c r="T195" s="37" t="n">
        <v>0.951</v>
      </c>
      <c r="U195" s="38">
        <f>IFERROR([@InspDone]/[@InspPlanned],0)</f>
        <v/>
      </c>
      <c r="V195" s="38">
        <f>IFERROR([@ObsClosed]/[@ObsRaised],0)</f>
        <v/>
      </c>
    </row>
    <row r="196">
      <c r="A196" s="33" t="n">
        <v>45748</v>
      </c>
      <c r="B196" s="28">
        <f>YEAR([@Period])</f>
        <v/>
      </c>
      <c r="C196" s="28">
        <f>TEXT([@Period],"mmm")</f>
        <v/>
      </c>
      <c r="D196" s="30">
        <f>MONTH([@Period])</f>
        <v/>
      </c>
      <c r="E196" s="28" t="inlineStr">
        <is>
          <t>Assay Laboratory</t>
        </is>
      </c>
      <c r="F196" s="28" t="inlineStr">
        <is>
          <t>Laboratory</t>
        </is>
      </c>
      <c r="G196" s="28" t="inlineStr">
        <is>
          <t>SGS (Laboratory)</t>
        </is>
      </c>
      <c r="H196" s="34" t="n">
        <v>5125</v>
      </c>
      <c r="I196" s="35" t="n">
        <v>0</v>
      </c>
      <c r="J196" s="35" t="n">
        <v>1</v>
      </c>
      <c r="K196" s="35" t="n">
        <v>2</v>
      </c>
      <c r="L196" s="35" t="n">
        <v>2</v>
      </c>
      <c r="M196" s="35" t="n">
        <v>2</v>
      </c>
      <c r="N196" s="35" t="n">
        <v>2</v>
      </c>
      <c r="O196" s="36" t="n">
        <v>0.982</v>
      </c>
      <c r="P196" s="35" t="n">
        <v>0</v>
      </c>
      <c r="Q196" s="35" t="n">
        <v>2</v>
      </c>
      <c r="R196" s="35" t="n">
        <v>4</v>
      </c>
      <c r="S196" s="35" t="n">
        <v>4</v>
      </c>
      <c r="T196" s="37" t="n">
        <v>0.928</v>
      </c>
      <c r="U196" s="38">
        <f>IFERROR([@InspDone]/[@InspPlanned],0)</f>
        <v/>
      </c>
      <c r="V196" s="38">
        <f>IFERROR([@ObsClosed]/[@ObsRaised],0)</f>
        <v/>
      </c>
    </row>
    <row r="197">
      <c r="A197" s="33" t="n">
        <v>45748</v>
      </c>
      <c r="B197" s="28">
        <f>YEAR([@Period])</f>
        <v/>
      </c>
      <c r="C197" s="28">
        <f>TEXT([@Period],"mmm")</f>
        <v/>
      </c>
      <c r="D197" s="30">
        <f>MONTH([@Period])</f>
        <v/>
      </c>
      <c r="E197" s="28" t="inlineStr">
        <is>
          <t>HME Workshop</t>
        </is>
      </c>
      <c r="F197" s="28" t="inlineStr">
        <is>
          <t>Engineering</t>
        </is>
      </c>
      <c r="G197" s="28" t="inlineStr">
        <is>
          <t>Owner (Asanko)</t>
        </is>
      </c>
      <c r="H197" s="34" t="n">
        <v>11055</v>
      </c>
      <c r="I197" s="35" t="n">
        <v>3</v>
      </c>
      <c r="J197" s="35" t="n">
        <v>2</v>
      </c>
      <c r="K197" s="35" t="n">
        <v>4</v>
      </c>
      <c r="L197" s="35" t="n">
        <v>4</v>
      </c>
      <c r="M197" s="35" t="n">
        <v>3</v>
      </c>
      <c r="N197" s="35" t="n">
        <v>3</v>
      </c>
      <c r="O197" s="36" t="n">
        <v>0.886</v>
      </c>
      <c r="P197" s="35" t="n">
        <v>0</v>
      </c>
      <c r="Q197" s="35" t="n">
        <v>3</v>
      </c>
      <c r="R197" s="35" t="n">
        <v>9</v>
      </c>
      <c r="S197" s="35" t="n">
        <v>9</v>
      </c>
      <c r="T197" s="37" t="n">
        <v>0.9419999999999999</v>
      </c>
      <c r="U197" s="38">
        <f>IFERROR([@InspDone]/[@InspPlanned],0)</f>
        <v/>
      </c>
      <c r="V197" s="38">
        <f>IFERROR([@ObsClosed]/[@ObsRaised],0)</f>
        <v/>
      </c>
    </row>
    <row r="198">
      <c r="A198" s="33" t="n">
        <v>45748</v>
      </c>
      <c r="B198" s="28">
        <f>YEAR([@Period])</f>
        <v/>
      </c>
      <c r="C198" s="28">
        <f>TEXT([@Period],"mmm")</f>
        <v/>
      </c>
      <c r="D198" s="30">
        <f>MONTH([@Period])</f>
        <v/>
      </c>
      <c r="E198" s="28" t="inlineStr">
        <is>
          <t>Fuel Farm</t>
        </is>
      </c>
      <c r="F198" s="28" t="inlineStr">
        <is>
          <t>Engineering</t>
        </is>
      </c>
      <c r="G198" s="28" t="inlineStr">
        <is>
          <t>Owner (Asanko)</t>
        </is>
      </c>
      <c r="H198" s="34" t="n">
        <v>2290</v>
      </c>
      <c r="I198" s="35" t="n">
        <v>0</v>
      </c>
      <c r="J198" s="35" t="n">
        <v>0</v>
      </c>
      <c r="K198" s="35" t="n">
        <v>2</v>
      </c>
      <c r="L198" s="35" t="n">
        <v>2</v>
      </c>
      <c r="M198" s="35" t="n">
        <v>2</v>
      </c>
      <c r="N198" s="35" t="n">
        <v>2</v>
      </c>
      <c r="O198" s="36" t="n">
        <v>0.993</v>
      </c>
      <c r="P198" s="35" t="n">
        <v>1</v>
      </c>
      <c r="Q198" s="35" t="n">
        <v>1</v>
      </c>
      <c r="R198" s="35" t="n">
        <v>3</v>
      </c>
      <c r="S198" s="35" t="n">
        <v>3</v>
      </c>
      <c r="T198" s="37" t="n">
        <v>0.922</v>
      </c>
      <c r="U198" s="38">
        <f>IFERROR([@InspDone]/[@InspPlanned],0)</f>
        <v/>
      </c>
      <c r="V198" s="38">
        <f>IFERROR([@ObsClosed]/[@ObsRaised],0)</f>
        <v/>
      </c>
    </row>
    <row r="199">
      <c r="A199" s="33" t="n">
        <v>45748</v>
      </c>
      <c r="B199" s="28">
        <f>YEAR([@Period])</f>
        <v/>
      </c>
      <c r="C199" s="28">
        <f>TEXT([@Period],"mmm")</f>
        <v/>
      </c>
      <c r="D199" s="30">
        <f>MONTH([@Period])</f>
        <v/>
      </c>
      <c r="E199" s="28" t="inlineStr">
        <is>
          <t>Power Station</t>
        </is>
      </c>
      <c r="F199" s="28" t="inlineStr">
        <is>
          <t>Engineering</t>
        </is>
      </c>
      <c r="G199" s="28" t="inlineStr">
        <is>
          <t>Genser (Power)</t>
        </is>
      </c>
      <c r="H199" s="34" t="n">
        <v>4950</v>
      </c>
      <c r="I199" s="35" t="n">
        <v>0</v>
      </c>
      <c r="J199" s="35" t="n">
        <v>1</v>
      </c>
      <c r="K199" s="35" t="n">
        <v>0</v>
      </c>
      <c r="L199" s="35" t="n">
        <v>0</v>
      </c>
      <c r="M199" s="35" t="n">
        <v>2</v>
      </c>
      <c r="N199" s="35" t="n">
        <v>2</v>
      </c>
      <c r="O199" s="36" t="n">
        <v>0.97</v>
      </c>
      <c r="P199" s="35" t="n">
        <v>1</v>
      </c>
      <c r="Q199" s="35" t="n">
        <v>3</v>
      </c>
      <c r="R199" s="35" t="n">
        <v>3</v>
      </c>
      <c r="S199" s="35" t="n">
        <v>3</v>
      </c>
      <c r="T199" s="37" t="n">
        <v>0.921</v>
      </c>
      <c r="U199" s="38">
        <f>IFERROR([@InspDone]/[@InspPlanned],0)</f>
        <v/>
      </c>
      <c r="V199" s="38">
        <f>IFERROR([@ObsClosed]/[@ObsRaised],0)</f>
        <v/>
      </c>
    </row>
    <row r="200">
      <c r="A200" s="33" t="n">
        <v>45748</v>
      </c>
      <c r="B200" s="28">
        <f>YEAR([@Period])</f>
        <v/>
      </c>
      <c r="C200" s="28">
        <f>TEXT([@Period],"mmm")</f>
        <v/>
      </c>
      <c r="D200" s="30">
        <f>MONTH([@Period])</f>
        <v/>
      </c>
      <c r="E200" s="28" t="inlineStr">
        <is>
          <t>Warehouse &amp; Stores</t>
        </is>
      </c>
      <c r="F200" s="28" t="inlineStr">
        <is>
          <t>Logistics</t>
        </is>
      </c>
      <c r="G200" s="28" t="inlineStr">
        <is>
          <t>Owner (Asanko)</t>
        </is>
      </c>
      <c r="H200" s="34" t="n">
        <v>4848</v>
      </c>
      <c r="I200" s="35" t="n">
        <v>3</v>
      </c>
      <c r="J200" s="35" t="n">
        <v>3</v>
      </c>
      <c r="K200" s="35" t="n">
        <v>0</v>
      </c>
      <c r="L200" s="35" t="n">
        <v>0</v>
      </c>
      <c r="M200" s="35" t="n">
        <v>2</v>
      </c>
      <c r="N200" s="35" t="n">
        <v>2</v>
      </c>
      <c r="O200" s="36" t="n">
        <v>0.9320000000000001</v>
      </c>
      <c r="P200" s="35" t="n">
        <v>0</v>
      </c>
      <c r="Q200" s="35" t="n">
        <v>1</v>
      </c>
      <c r="R200" s="35" t="n">
        <v>4</v>
      </c>
      <c r="S200" s="35" t="n">
        <v>4</v>
      </c>
      <c r="T200" s="37" t="n">
        <v>0.98</v>
      </c>
      <c r="U200" s="38">
        <f>IFERROR([@InspDone]/[@InspPlanned],0)</f>
        <v/>
      </c>
      <c r="V200" s="38">
        <f>IFERROR([@ObsClosed]/[@ObsRaised],0)</f>
        <v/>
      </c>
    </row>
    <row r="201">
      <c r="A201" s="33" t="n">
        <v>45748</v>
      </c>
      <c r="B201" s="28">
        <f>YEAR([@Period])</f>
        <v/>
      </c>
      <c r="C201" s="28">
        <f>TEXT([@Period],"mmm")</f>
        <v/>
      </c>
      <c r="D201" s="30">
        <f>MONTH([@Period])</f>
        <v/>
      </c>
      <c r="E201" s="28" t="inlineStr">
        <is>
          <t>Administration</t>
        </is>
      </c>
      <c r="F201" s="28" t="inlineStr">
        <is>
          <t>Administration</t>
        </is>
      </c>
      <c r="G201" s="28" t="inlineStr">
        <is>
          <t>Owner (Asanko)</t>
        </is>
      </c>
      <c r="H201" s="34" t="n">
        <v>11820</v>
      </c>
      <c r="I201" s="35" t="n">
        <v>3</v>
      </c>
      <c r="J201" s="35" t="n">
        <v>3</v>
      </c>
      <c r="K201" s="35" t="n">
        <v>6</v>
      </c>
      <c r="L201" s="35" t="n">
        <v>5</v>
      </c>
      <c r="M201" s="35" t="n">
        <v>3</v>
      </c>
      <c r="N201" s="35" t="n">
        <v>3</v>
      </c>
      <c r="O201" s="36" t="n">
        <v>0.985</v>
      </c>
      <c r="P201" s="35" t="n">
        <v>0</v>
      </c>
      <c r="Q201" s="35" t="n">
        <v>6</v>
      </c>
      <c r="R201" s="35" t="n">
        <v>10</v>
      </c>
      <c r="S201" s="35" t="n">
        <v>9</v>
      </c>
      <c r="T201" s="37" t="n">
        <v>0.885</v>
      </c>
      <c r="U201" s="38">
        <f>IFERROR([@InspDone]/[@InspPlanned],0)</f>
        <v/>
      </c>
      <c r="V201" s="38">
        <f>IFERROR([@ObsClosed]/[@ObsRaised],0)</f>
        <v/>
      </c>
    </row>
    <row r="202">
      <c r="A202" s="33" t="n">
        <v>45748</v>
      </c>
      <c r="B202" s="28">
        <f>YEAR([@Period])</f>
        <v/>
      </c>
      <c r="C202" s="28">
        <f>TEXT([@Period],"mmm")</f>
        <v/>
      </c>
      <c r="D202" s="30">
        <f>MONTH([@Period])</f>
        <v/>
      </c>
      <c r="E202" s="28" t="inlineStr">
        <is>
          <t>Accommodation Camp</t>
        </is>
      </c>
      <c r="F202" s="28" t="inlineStr">
        <is>
          <t>Administration</t>
        </is>
      </c>
      <c r="G202" s="28" t="inlineStr">
        <is>
          <t>Catering Co (Camp)</t>
        </is>
      </c>
      <c r="H202" s="34" t="n">
        <v>6660</v>
      </c>
      <c r="I202" s="35" t="n">
        <v>3</v>
      </c>
      <c r="J202" s="35" t="n">
        <v>1</v>
      </c>
      <c r="K202" s="35" t="n">
        <v>5</v>
      </c>
      <c r="L202" s="35" t="n">
        <v>4</v>
      </c>
      <c r="M202" s="35" t="n">
        <v>2</v>
      </c>
      <c r="N202" s="35" t="n">
        <v>2</v>
      </c>
      <c r="O202" s="36" t="n">
        <v>0.905</v>
      </c>
      <c r="P202" s="35" t="n">
        <v>0</v>
      </c>
      <c r="Q202" s="35" t="n">
        <v>1</v>
      </c>
      <c r="R202" s="35" t="n">
        <v>5</v>
      </c>
      <c r="S202" s="35" t="n">
        <v>5</v>
      </c>
      <c r="T202" s="37" t="n">
        <v>0.951</v>
      </c>
      <c r="U202" s="38">
        <f>IFERROR([@InspDone]/[@InspPlanned],0)</f>
        <v/>
      </c>
      <c r="V202" s="38">
        <f>IFERROR([@ObsClosed]/[@ObsRaised],0)</f>
        <v/>
      </c>
    </row>
    <row r="203">
      <c r="A203" s="33" t="n">
        <v>45748</v>
      </c>
      <c r="B203" s="28">
        <f>YEAR([@Period])</f>
        <v/>
      </c>
      <c r="C203" s="28">
        <f>TEXT([@Period],"mmm")</f>
        <v/>
      </c>
      <c r="D203" s="30">
        <f>MONTH([@Period])</f>
        <v/>
      </c>
      <c r="E203" s="28" t="inlineStr">
        <is>
          <t>Security Gatehouse</t>
        </is>
      </c>
      <c r="F203" s="28" t="inlineStr">
        <is>
          <t>Security</t>
        </is>
      </c>
      <c r="G203" s="28" t="inlineStr">
        <is>
          <t>G4S (Security)</t>
        </is>
      </c>
      <c r="H203" s="34" t="n">
        <v>8775</v>
      </c>
      <c r="I203" s="35" t="n">
        <v>3</v>
      </c>
      <c r="J203" s="35" t="n">
        <v>2</v>
      </c>
      <c r="K203" s="35" t="n">
        <v>3</v>
      </c>
      <c r="L203" s="35" t="n">
        <v>3</v>
      </c>
      <c r="M203" s="35" t="n">
        <v>2</v>
      </c>
      <c r="N203" s="35" t="n">
        <v>2</v>
      </c>
      <c r="O203" s="36" t="n">
        <v>0.976</v>
      </c>
      <c r="P203" s="35" t="n">
        <v>0</v>
      </c>
      <c r="Q203" s="35" t="n">
        <v>1</v>
      </c>
      <c r="R203" s="35" t="n">
        <v>7</v>
      </c>
      <c r="S203" s="35" t="n">
        <v>6</v>
      </c>
      <c r="T203" s="37" t="n">
        <v>0.903</v>
      </c>
      <c r="U203" s="38">
        <f>IFERROR([@InspDone]/[@InspPlanned],0)</f>
        <v/>
      </c>
      <c r="V203" s="38">
        <f>IFERROR([@ObsClosed]/[@ObsRaised],0)</f>
        <v/>
      </c>
    </row>
    <row r="204">
      <c r="A204" s="33" t="n">
        <v>45778</v>
      </c>
      <c r="B204" s="28">
        <f>YEAR([@Period])</f>
        <v/>
      </c>
      <c r="C204" s="28">
        <f>TEXT([@Period],"mmm")</f>
        <v/>
      </c>
      <c r="D204" s="30">
        <f>MONTH([@Period])</f>
        <v/>
      </c>
      <c r="E204" s="28" t="inlineStr">
        <is>
          <t>Nkran Open Pit</t>
        </is>
      </c>
      <c r="F204" s="28" t="inlineStr">
        <is>
          <t>Mining</t>
        </is>
      </c>
      <c r="G204" s="28" t="inlineStr">
        <is>
          <t>AUMS (Mining Contractor)</t>
        </is>
      </c>
      <c r="H204" s="34" t="n">
        <v>25200</v>
      </c>
      <c r="I204" s="35" t="n">
        <v>4</v>
      </c>
      <c r="J204" s="35" t="n">
        <v>3</v>
      </c>
      <c r="K204" s="35" t="n">
        <v>10</v>
      </c>
      <c r="L204" s="35" t="n">
        <v>9</v>
      </c>
      <c r="M204" s="35" t="n">
        <v>6</v>
      </c>
      <c r="N204" s="35" t="n">
        <v>6</v>
      </c>
      <c r="O204" s="36" t="n">
        <v>0.958</v>
      </c>
      <c r="P204" s="35" t="n">
        <v>0</v>
      </c>
      <c r="Q204" s="35" t="n">
        <v>7</v>
      </c>
      <c r="R204" s="35" t="n">
        <v>20</v>
      </c>
      <c r="S204" s="35" t="n">
        <v>20</v>
      </c>
      <c r="T204" s="37" t="n">
        <v>0.997</v>
      </c>
      <c r="U204" s="38">
        <f>IFERROR([@InspDone]/[@InspPlanned],0)</f>
        <v/>
      </c>
      <c r="V204" s="38">
        <f>IFERROR([@ObsClosed]/[@ObsRaised],0)</f>
        <v/>
      </c>
    </row>
    <row r="205">
      <c r="A205" s="33" t="n">
        <v>45778</v>
      </c>
      <c r="B205" s="28">
        <f>YEAR([@Period])</f>
        <v/>
      </c>
      <c r="C205" s="28">
        <f>TEXT([@Period],"mmm")</f>
        <v/>
      </c>
      <c r="D205" s="30">
        <f>MONTH([@Period])</f>
        <v/>
      </c>
      <c r="E205" s="28" t="inlineStr">
        <is>
          <t>Esaase Open Pit</t>
        </is>
      </c>
      <c r="F205" s="28" t="inlineStr">
        <is>
          <t>Mining</t>
        </is>
      </c>
      <c r="G205" s="28" t="inlineStr">
        <is>
          <t>AUMS (Mining Contractor)</t>
        </is>
      </c>
      <c r="H205" s="34" t="n">
        <v>23430</v>
      </c>
      <c r="I205" s="35" t="n">
        <v>4</v>
      </c>
      <c r="J205" s="35" t="n">
        <v>2</v>
      </c>
      <c r="K205" s="35" t="n">
        <v>3</v>
      </c>
      <c r="L205" s="35" t="n">
        <v>2</v>
      </c>
      <c r="M205" s="35" t="n">
        <v>6</v>
      </c>
      <c r="N205" s="35" t="n">
        <v>6</v>
      </c>
      <c r="O205" s="36" t="n">
        <v>0.908</v>
      </c>
      <c r="P205" s="35" t="n">
        <v>0</v>
      </c>
      <c r="Q205" s="35" t="n">
        <v>10</v>
      </c>
      <c r="R205" s="35" t="n">
        <v>18</v>
      </c>
      <c r="S205" s="35" t="n">
        <v>17</v>
      </c>
      <c r="T205" s="37" t="n">
        <v>0.885</v>
      </c>
      <c r="U205" s="38">
        <f>IFERROR([@InspDone]/[@InspPlanned],0)</f>
        <v/>
      </c>
      <c r="V205" s="38">
        <f>IFERROR([@ObsClosed]/[@ObsRaised],0)</f>
        <v/>
      </c>
    </row>
    <row r="206">
      <c r="A206" s="33" t="n">
        <v>45778</v>
      </c>
      <c r="B206" s="28">
        <f>YEAR([@Period])</f>
        <v/>
      </c>
      <c r="C206" s="28">
        <f>TEXT([@Period],"mmm")</f>
        <v/>
      </c>
      <c r="D206" s="30">
        <f>MONTH([@Period])</f>
        <v/>
      </c>
      <c r="E206" s="28" t="inlineStr">
        <is>
          <t>Drill &amp; Blast</t>
        </is>
      </c>
      <c r="F206" s="28" t="inlineStr">
        <is>
          <t>Mining</t>
        </is>
      </c>
      <c r="G206" s="28" t="inlineStr">
        <is>
          <t>Maxam (Blasting)</t>
        </is>
      </c>
      <c r="H206" s="34" t="n">
        <v>7840</v>
      </c>
      <c r="I206" s="35" t="n">
        <v>0</v>
      </c>
      <c r="J206" s="35" t="n">
        <v>0</v>
      </c>
      <c r="K206" s="35" t="n">
        <v>2</v>
      </c>
      <c r="L206" s="35" t="n">
        <v>2</v>
      </c>
      <c r="M206" s="35" t="n">
        <v>2</v>
      </c>
      <c r="N206" s="35" t="n">
        <v>2</v>
      </c>
      <c r="O206" s="36" t="n">
        <v>0.896</v>
      </c>
      <c r="P206" s="35" t="n">
        <v>0</v>
      </c>
      <c r="Q206" s="35" t="n">
        <v>0</v>
      </c>
      <c r="R206" s="35" t="n">
        <v>6</v>
      </c>
      <c r="S206" s="35" t="n">
        <v>6</v>
      </c>
      <c r="T206" s="37" t="n">
        <v>0.908</v>
      </c>
      <c r="U206" s="38">
        <f>IFERROR([@InspDone]/[@InspPlanned],0)</f>
        <v/>
      </c>
      <c r="V206" s="38">
        <f>IFERROR([@ObsClosed]/[@ObsRaised],0)</f>
        <v/>
      </c>
    </row>
    <row r="207">
      <c r="A207" s="33" t="n">
        <v>45778</v>
      </c>
      <c r="B207" s="28">
        <f>YEAR([@Period])</f>
        <v/>
      </c>
      <c r="C207" s="28">
        <f>TEXT([@Period],"mmm")</f>
        <v/>
      </c>
      <c r="D207" s="30">
        <f>MONTH([@Period])</f>
        <v/>
      </c>
      <c r="E207" s="28" t="inlineStr">
        <is>
          <t>Haul Roads</t>
        </is>
      </c>
      <c r="F207" s="28" t="inlineStr">
        <is>
          <t>Mining</t>
        </is>
      </c>
      <c r="G207" s="28" t="inlineStr">
        <is>
          <t>AUMS (Mining Contractor)</t>
        </is>
      </c>
      <c r="H207" s="34" t="n">
        <v>13680</v>
      </c>
      <c r="I207" s="35" t="n">
        <v>5</v>
      </c>
      <c r="J207" s="35" t="n">
        <v>0</v>
      </c>
      <c r="K207" s="35" t="n">
        <v>4</v>
      </c>
      <c r="L207" s="35" t="n">
        <v>3</v>
      </c>
      <c r="M207" s="35" t="n">
        <v>3</v>
      </c>
      <c r="N207" s="35" t="n">
        <v>3</v>
      </c>
      <c r="O207" s="36" t="n">
        <v>0.955</v>
      </c>
      <c r="P207" s="35" t="n">
        <v>1</v>
      </c>
      <c r="Q207" s="35" t="n">
        <v>5</v>
      </c>
      <c r="R207" s="35" t="n">
        <v>10</v>
      </c>
      <c r="S207" s="35" t="n">
        <v>9</v>
      </c>
      <c r="T207" s="37" t="n">
        <v>0.976</v>
      </c>
      <c r="U207" s="38">
        <f>IFERROR([@InspDone]/[@InspPlanned],0)</f>
        <v/>
      </c>
      <c r="V207" s="38">
        <f>IFERROR([@ObsClosed]/[@ObsRaised],0)</f>
        <v/>
      </c>
    </row>
    <row r="208">
      <c r="A208" s="33" t="n">
        <v>45778</v>
      </c>
      <c r="B208" s="28">
        <f>YEAR([@Period])</f>
        <v/>
      </c>
      <c r="C208" s="28">
        <f>TEXT([@Period],"mmm")</f>
        <v/>
      </c>
      <c r="D208" s="30">
        <f>MONTH([@Period])</f>
        <v/>
      </c>
      <c r="E208" s="28" t="inlineStr">
        <is>
          <t>Explosives Magazine</t>
        </is>
      </c>
      <c r="F208" s="28" t="inlineStr">
        <is>
          <t>Mining</t>
        </is>
      </c>
      <c r="G208" s="28" t="inlineStr">
        <is>
          <t>Maxam (Blasting)</t>
        </is>
      </c>
      <c r="H208" s="34" t="n">
        <v>3030</v>
      </c>
      <c r="I208" s="35" t="n">
        <v>2</v>
      </c>
      <c r="J208" s="35" t="n">
        <v>1</v>
      </c>
      <c r="K208" s="35" t="n">
        <v>2</v>
      </c>
      <c r="L208" s="35" t="n">
        <v>2</v>
      </c>
      <c r="M208" s="35" t="n">
        <v>2</v>
      </c>
      <c r="N208" s="35" t="n">
        <v>2</v>
      </c>
      <c r="O208" s="36" t="n">
        <v>0.886</v>
      </c>
      <c r="P208" s="35" t="n">
        <v>1</v>
      </c>
      <c r="Q208" s="35" t="n">
        <v>3</v>
      </c>
      <c r="R208" s="35" t="n">
        <v>3</v>
      </c>
      <c r="S208" s="35" t="n">
        <v>3</v>
      </c>
      <c r="T208" s="37" t="n">
        <v>0.985</v>
      </c>
      <c r="U208" s="38">
        <f>IFERROR([@InspDone]/[@InspPlanned],0)</f>
        <v/>
      </c>
      <c r="V208" s="38">
        <f>IFERROR([@ObsClosed]/[@ObsRaised],0)</f>
        <v/>
      </c>
    </row>
    <row r="209">
      <c r="A209" s="33" t="n">
        <v>45778</v>
      </c>
      <c r="B209" s="28">
        <f>YEAR([@Period])</f>
        <v/>
      </c>
      <c r="C209" s="28">
        <f>TEXT([@Period],"mmm")</f>
        <v/>
      </c>
      <c r="D209" s="30">
        <f>MONTH([@Period])</f>
        <v/>
      </c>
      <c r="E209" s="28" t="inlineStr">
        <is>
          <t>Crushing Circuit</t>
        </is>
      </c>
      <c r="F209" s="28" t="inlineStr">
        <is>
          <t>Processing</t>
        </is>
      </c>
      <c r="G209" s="28" t="inlineStr">
        <is>
          <t>Owner (Asanko)</t>
        </is>
      </c>
      <c r="H209" s="34" t="n">
        <v>7315</v>
      </c>
      <c r="I209" s="35" t="n">
        <v>3</v>
      </c>
      <c r="J209" s="35" t="n">
        <v>1</v>
      </c>
      <c r="K209" s="35" t="n">
        <v>5</v>
      </c>
      <c r="L209" s="35" t="n">
        <v>4</v>
      </c>
      <c r="M209" s="35" t="n">
        <v>2</v>
      </c>
      <c r="N209" s="35" t="n">
        <v>2</v>
      </c>
      <c r="O209" s="36" t="n">
        <v>0.944</v>
      </c>
      <c r="P209" s="35" t="n">
        <v>1</v>
      </c>
      <c r="Q209" s="35" t="n">
        <v>3</v>
      </c>
      <c r="R209" s="35" t="n">
        <v>5</v>
      </c>
      <c r="S209" s="35" t="n">
        <v>5</v>
      </c>
      <c r="T209" s="37" t="n">
        <v>0.96</v>
      </c>
      <c r="U209" s="38">
        <f>IFERROR([@InspDone]/[@InspPlanned],0)</f>
        <v/>
      </c>
      <c r="V209" s="38">
        <f>IFERROR([@ObsClosed]/[@ObsRaised],0)</f>
        <v/>
      </c>
    </row>
    <row r="210">
      <c r="A210" s="33" t="n">
        <v>45778</v>
      </c>
      <c r="B210" s="28">
        <f>YEAR([@Period])</f>
        <v/>
      </c>
      <c r="C210" s="28">
        <f>TEXT([@Period],"mmm")</f>
        <v/>
      </c>
      <c r="D210" s="30">
        <f>MONTH([@Period])</f>
        <v/>
      </c>
      <c r="E210" s="28" t="inlineStr">
        <is>
          <t>Processing Plant (CIL)</t>
        </is>
      </c>
      <c r="F210" s="28" t="inlineStr">
        <is>
          <t>Processing</t>
        </is>
      </c>
      <c r="G210" s="28" t="inlineStr">
        <is>
          <t>Owner (Asanko)</t>
        </is>
      </c>
      <c r="H210" s="34" t="n">
        <v>20430</v>
      </c>
      <c r="I210" s="35" t="n">
        <v>4</v>
      </c>
      <c r="J210" s="35" t="n">
        <v>4</v>
      </c>
      <c r="K210" s="35" t="n">
        <v>7</v>
      </c>
      <c r="L210" s="35" t="n">
        <v>6</v>
      </c>
      <c r="M210" s="35" t="n">
        <v>5</v>
      </c>
      <c r="N210" s="35" t="n">
        <v>5</v>
      </c>
      <c r="O210" s="36" t="n">
        <v>0.926</v>
      </c>
      <c r="P210" s="35" t="n">
        <v>1</v>
      </c>
      <c r="Q210" s="35" t="n">
        <v>7</v>
      </c>
      <c r="R210" s="35" t="n">
        <v>15</v>
      </c>
      <c r="S210" s="35" t="n">
        <v>14</v>
      </c>
      <c r="T210" s="37" t="n">
        <v>0.898</v>
      </c>
      <c r="U210" s="38">
        <f>IFERROR([@InspDone]/[@InspPlanned],0)</f>
        <v/>
      </c>
      <c r="V210" s="38">
        <f>IFERROR([@ObsClosed]/[@ObsRaised],0)</f>
        <v/>
      </c>
    </row>
    <row r="211">
      <c r="A211" s="33" t="n">
        <v>45778</v>
      </c>
      <c r="B211" s="28">
        <f>YEAR([@Period])</f>
        <v/>
      </c>
      <c r="C211" s="28">
        <f>TEXT([@Period],"mmm")</f>
        <v/>
      </c>
      <c r="D211" s="30">
        <f>MONTH([@Period])</f>
        <v/>
      </c>
      <c r="E211" s="28" t="inlineStr">
        <is>
          <t>Elution &amp; Gold Room</t>
        </is>
      </c>
      <c r="F211" s="28" t="inlineStr">
        <is>
          <t>Processing</t>
        </is>
      </c>
      <c r="G211" s="28" t="inlineStr">
        <is>
          <t>Owner (Asanko)</t>
        </is>
      </c>
      <c r="H211" s="34" t="n">
        <v>4520</v>
      </c>
      <c r="I211" s="35" t="n">
        <v>2</v>
      </c>
      <c r="J211" s="35" t="n">
        <v>2</v>
      </c>
      <c r="K211" s="35" t="n">
        <v>1</v>
      </c>
      <c r="L211" s="35" t="n">
        <v>1</v>
      </c>
      <c r="M211" s="35" t="n">
        <v>2</v>
      </c>
      <c r="N211" s="35" t="n">
        <v>2</v>
      </c>
      <c r="O211" s="36" t="n">
        <v>0.957</v>
      </c>
      <c r="P211" s="35" t="n">
        <v>1</v>
      </c>
      <c r="Q211" s="35" t="n">
        <v>2</v>
      </c>
      <c r="R211" s="35" t="n">
        <v>3</v>
      </c>
      <c r="S211" s="35" t="n">
        <v>3</v>
      </c>
      <c r="T211" s="37" t="n">
        <v>0.984</v>
      </c>
      <c r="U211" s="38">
        <f>IFERROR([@InspDone]/[@InspPlanned],0)</f>
        <v/>
      </c>
      <c r="V211" s="38">
        <f>IFERROR([@ObsClosed]/[@ObsRaised],0)</f>
        <v/>
      </c>
    </row>
    <row r="212">
      <c r="A212" s="33" t="n">
        <v>45778</v>
      </c>
      <c r="B212" s="28">
        <f>YEAR([@Period])</f>
        <v/>
      </c>
      <c r="C212" s="28">
        <f>TEXT([@Period],"mmm")</f>
        <v/>
      </c>
      <c r="D212" s="30">
        <f>MONTH([@Period])</f>
        <v/>
      </c>
      <c r="E212" s="28" t="inlineStr">
        <is>
          <t>Tailings Storage Facility</t>
        </is>
      </c>
      <c r="F212" s="28" t="inlineStr">
        <is>
          <t>Environment</t>
        </is>
      </c>
      <c r="G212" s="28" t="inlineStr">
        <is>
          <t>Owner (Asanko)</t>
        </is>
      </c>
      <c r="H212" s="34" t="n">
        <v>3870</v>
      </c>
      <c r="I212" s="35" t="n">
        <v>0</v>
      </c>
      <c r="J212" s="35" t="n">
        <v>0</v>
      </c>
      <c r="K212" s="35" t="n">
        <v>3</v>
      </c>
      <c r="L212" s="35" t="n">
        <v>3</v>
      </c>
      <c r="M212" s="35" t="n">
        <v>2</v>
      </c>
      <c r="N212" s="35" t="n">
        <v>2</v>
      </c>
      <c r="O212" s="36" t="n">
        <v>0.956</v>
      </c>
      <c r="P212" s="35" t="n">
        <v>1</v>
      </c>
      <c r="Q212" s="35" t="n">
        <v>5</v>
      </c>
      <c r="R212" s="35" t="n">
        <v>3</v>
      </c>
      <c r="S212" s="35" t="n">
        <v>3</v>
      </c>
      <c r="T212" s="37" t="n">
        <v>0.957</v>
      </c>
      <c r="U212" s="38">
        <f>IFERROR([@InspDone]/[@InspPlanned],0)</f>
        <v/>
      </c>
      <c r="V212" s="38">
        <f>IFERROR([@ObsClosed]/[@ObsRaised],0)</f>
        <v/>
      </c>
    </row>
    <row r="213">
      <c r="A213" s="33" t="n">
        <v>45778</v>
      </c>
      <c r="B213" s="28">
        <f>YEAR([@Period])</f>
        <v/>
      </c>
      <c r="C213" s="28">
        <f>TEXT([@Period],"mmm")</f>
        <v/>
      </c>
      <c r="D213" s="30">
        <f>MONTH([@Period])</f>
        <v/>
      </c>
      <c r="E213" s="28" t="inlineStr">
        <is>
          <t>Water Treatment</t>
        </is>
      </c>
      <c r="F213" s="28" t="inlineStr">
        <is>
          <t>Environment</t>
        </is>
      </c>
      <c r="G213" s="28" t="inlineStr">
        <is>
          <t>Owner (Asanko)</t>
        </is>
      </c>
      <c r="H213" s="34" t="n">
        <v>2172</v>
      </c>
      <c r="I213" s="35" t="n">
        <v>0</v>
      </c>
      <c r="J213" s="35" t="n">
        <v>3</v>
      </c>
      <c r="K213" s="35" t="n">
        <v>3</v>
      </c>
      <c r="L213" s="35" t="n">
        <v>3</v>
      </c>
      <c r="M213" s="35" t="n">
        <v>2</v>
      </c>
      <c r="N213" s="35" t="n">
        <v>2</v>
      </c>
      <c r="O213" s="36" t="n">
        <v>0.949</v>
      </c>
      <c r="P213" s="35" t="n">
        <v>0</v>
      </c>
      <c r="Q213" s="35" t="n">
        <v>2</v>
      </c>
      <c r="R213" s="35" t="n">
        <v>3</v>
      </c>
      <c r="S213" s="35" t="n">
        <v>3</v>
      </c>
      <c r="T213" s="37" t="n">
        <v>0.906</v>
      </c>
      <c r="U213" s="38">
        <f>IFERROR([@InspDone]/[@InspPlanned],0)</f>
        <v/>
      </c>
      <c r="V213" s="38">
        <f>IFERROR([@ObsClosed]/[@ObsRaised],0)</f>
        <v/>
      </c>
    </row>
    <row r="214">
      <c r="A214" s="33" t="n">
        <v>45778</v>
      </c>
      <c r="B214" s="28">
        <f>YEAR([@Period])</f>
        <v/>
      </c>
      <c r="C214" s="28">
        <f>TEXT([@Period],"mmm")</f>
        <v/>
      </c>
      <c r="D214" s="30">
        <f>MONTH([@Period])</f>
        <v/>
      </c>
      <c r="E214" s="28" t="inlineStr">
        <is>
          <t>Assay Laboratory</t>
        </is>
      </c>
      <c r="F214" s="28" t="inlineStr">
        <is>
          <t>Laboratory</t>
        </is>
      </c>
      <c r="G214" s="28" t="inlineStr">
        <is>
          <t>SGS (Laboratory)</t>
        </is>
      </c>
      <c r="H214" s="34" t="n">
        <v>5225</v>
      </c>
      <c r="I214" s="35" t="n">
        <v>0</v>
      </c>
      <c r="J214" s="35" t="n">
        <v>2</v>
      </c>
      <c r="K214" s="35" t="n">
        <v>2</v>
      </c>
      <c r="L214" s="35" t="n">
        <v>2</v>
      </c>
      <c r="M214" s="35" t="n">
        <v>2</v>
      </c>
      <c r="N214" s="35" t="n">
        <v>2</v>
      </c>
      <c r="O214" s="36" t="n">
        <v>0.987</v>
      </c>
      <c r="P214" s="35" t="n">
        <v>1</v>
      </c>
      <c r="Q214" s="35" t="n">
        <v>4</v>
      </c>
      <c r="R214" s="35" t="n">
        <v>4</v>
      </c>
      <c r="S214" s="35" t="n">
        <v>4</v>
      </c>
      <c r="T214" s="37" t="n">
        <v>0.917</v>
      </c>
      <c r="U214" s="38">
        <f>IFERROR([@InspDone]/[@InspPlanned],0)</f>
        <v/>
      </c>
      <c r="V214" s="38">
        <f>IFERROR([@ObsClosed]/[@ObsRaised],0)</f>
        <v/>
      </c>
    </row>
    <row r="215">
      <c r="A215" s="33" t="n">
        <v>45778</v>
      </c>
      <c r="B215" s="28">
        <f>YEAR([@Period])</f>
        <v/>
      </c>
      <c r="C215" s="28">
        <f>TEXT([@Period],"mmm")</f>
        <v/>
      </c>
      <c r="D215" s="30">
        <f>MONTH([@Period])</f>
        <v/>
      </c>
      <c r="E215" s="28" t="inlineStr">
        <is>
          <t>HME Workshop</t>
        </is>
      </c>
      <c r="F215" s="28" t="inlineStr">
        <is>
          <t>Engineering</t>
        </is>
      </c>
      <c r="G215" s="28" t="inlineStr">
        <is>
          <t>Owner (Asanko)</t>
        </is>
      </c>
      <c r="H215" s="34" t="n">
        <v>10670</v>
      </c>
      <c r="I215" s="35" t="n">
        <v>1</v>
      </c>
      <c r="J215" s="35" t="n">
        <v>1</v>
      </c>
      <c r="K215" s="35" t="n">
        <v>4</v>
      </c>
      <c r="L215" s="35" t="n">
        <v>3</v>
      </c>
      <c r="M215" s="35" t="n">
        <v>3</v>
      </c>
      <c r="N215" s="35" t="n">
        <v>3</v>
      </c>
      <c r="O215" s="36" t="n">
        <v>0.974</v>
      </c>
      <c r="P215" s="35" t="n">
        <v>0</v>
      </c>
      <c r="Q215" s="35" t="n">
        <v>6</v>
      </c>
      <c r="R215" s="35" t="n">
        <v>9</v>
      </c>
      <c r="S215" s="35" t="n">
        <v>9</v>
      </c>
      <c r="T215" s="37" t="n">
        <v>0.898</v>
      </c>
      <c r="U215" s="38">
        <f>IFERROR([@InspDone]/[@InspPlanned],0)</f>
        <v/>
      </c>
      <c r="V215" s="38">
        <f>IFERROR([@ObsClosed]/[@ObsRaised],0)</f>
        <v/>
      </c>
    </row>
    <row r="216">
      <c r="A216" s="33" t="n">
        <v>45778</v>
      </c>
      <c r="B216" s="28">
        <f>YEAR([@Period])</f>
        <v/>
      </c>
      <c r="C216" s="28">
        <f>TEXT([@Period],"mmm")</f>
        <v/>
      </c>
      <c r="D216" s="30">
        <f>MONTH([@Period])</f>
        <v/>
      </c>
      <c r="E216" s="28" t="inlineStr">
        <is>
          <t>Fuel Farm</t>
        </is>
      </c>
      <c r="F216" s="28" t="inlineStr">
        <is>
          <t>Engineering</t>
        </is>
      </c>
      <c r="G216" s="28" t="inlineStr">
        <is>
          <t>Owner (Asanko)</t>
        </is>
      </c>
      <c r="H216" s="34" t="n">
        <v>1820</v>
      </c>
      <c r="I216" s="35" t="n">
        <v>1</v>
      </c>
      <c r="J216" s="35" t="n">
        <v>1</v>
      </c>
      <c r="K216" s="35" t="n">
        <v>6</v>
      </c>
      <c r="L216" s="35" t="n">
        <v>5</v>
      </c>
      <c r="M216" s="35" t="n">
        <v>2</v>
      </c>
      <c r="N216" s="35" t="n">
        <v>2</v>
      </c>
      <c r="O216" s="36" t="n">
        <v>0.929</v>
      </c>
      <c r="P216" s="35" t="n">
        <v>0</v>
      </c>
      <c r="Q216" s="35" t="n">
        <v>1</v>
      </c>
      <c r="R216" s="35" t="n">
        <v>3</v>
      </c>
      <c r="S216" s="35" t="n">
        <v>3</v>
      </c>
      <c r="T216" s="37" t="n">
        <v>0.905</v>
      </c>
      <c r="U216" s="38">
        <f>IFERROR([@InspDone]/[@InspPlanned],0)</f>
        <v/>
      </c>
      <c r="V216" s="38">
        <f>IFERROR([@ObsClosed]/[@ObsRaised],0)</f>
        <v/>
      </c>
    </row>
    <row r="217">
      <c r="A217" s="33" t="n">
        <v>45778</v>
      </c>
      <c r="B217" s="28">
        <f>YEAR([@Period])</f>
        <v/>
      </c>
      <c r="C217" s="28">
        <f>TEXT([@Period],"mmm")</f>
        <v/>
      </c>
      <c r="D217" s="30">
        <f>MONTH([@Period])</f>
        <v/>
      </c>
      <c r="E217" s="28" t="inlineStr">
        <is>
          <t>Power Station</t>
        </is>
      </c>
      <c r="F217" s="28" t="inlineStr">
        <is>
          <t>Engineering</t>
        </is>
      </c>
      <c r="G217" s="28" t="inlineStr">
        <is>
          <t>Genser (Power)</t>
        </is>
      </c>
      <c r="H217" s="34" t="n">
        <v>4004</v>
      </c>
      <c r="I217" s="35" t="n">
        <v>0</v>
      </c>
      <c r="J217" s="35" t="n">
        <v>0</v>
      </c>
      <c r="K217" s="35" t="n">
        <v>4</v>
      </c>
      <c r="L217" s="35" t="n">
        <v>4</v>
      </c>
      <c r="M217" s="35" t="n">
        <v>2</v>
      </c>
      <c r="N217" s="35" t="n">
        <v>2</v>
      </c>
      <c r="O217" s="36" t="n">
        <v>0.9419999999999999</v>
      </c>
      <c r="P217" s="35" t="n">
        <v>1</v>
      </c>
      <c r="Q217" s="35" t="n">
        <v>1</v>
      </c>
      <c r="R217" s="35" t="n">
        <v>3</v>
      </c>
      <c r="S217" s="35" t="n">
        <v>3</v>
      </c>
      <c r="T217" s="37" t="n">
        <v>0.97</v>
      </c>
      <c r="U217" s="38">
        <f>IFERROR([@InspDone]/[@InspPlanned],0)</f>
        <v/>
      </c>
      <c r="V217" s="38">
        <f>IFERROR([@ObsClosed]/[@ObsRaised],0)</f>
        <v/>
      </c>
    </row>
    <row r="218">
      <c r="A218" s="33" t="n">
        <v>45778</v>
      </c>
      <c r="B218" s="28">
        <f>YEAR([@Period])</f>
        <v/>
      </c>
      <c r="C218" s="28">
        <f>TEXT([@Period],"mmm")</f>
        <v/>
      </c>
      <c r="D218" s="30">
        <f>MONTH([@Period])</f>
        <v/>
      </c>
      <c r="E218" s="28" t="inlineStr">
        <is>
          <t>Warehouse &amp; Stores</t>
        </is>
      </c>
      <c r="F218" s="28" t="inlineStr">
        <is>
          <t>Logistics</t>
        </is>
      </c>
      <c r="G218" s="28" t="inlineStr">
        <is>
          <t>Owner (Asanko)</t>
        </is>
      </c>
      <c r="H218" s="34" t="n">
        <v>5376</v>
      </c>
      <c r="I218" s="35" t="n">
        <v>2</v>
      </c>
      <c r="J218" s="35" t="n">
        <v>1</v>
      </c>
      <c r="K218" s="35" t="n">
        <v>0</v>
      </c>
      <c r="L218" s="35" t="n">
        <v>0</v>
      </c>
      <c r="M218" s="35" t="n">
        <v>2</v>
      </c>
      <c r="N218" s="35" t="n">
        <v>2</v>
      </c>
      <c r="O218" s="36" t="n">
        <v>0.892</v>
      </c>
      <c r="P218" s="35" t="n">
        <v>0</v>
      </c>
      <c r="Q218" s="35" t="n">
        <v>1</v>
      </c>
      <c r="R218" s="35" t="n">
        <v>4</v>
      </c>
      <c r="S218" s="35" t="n">
        <v>4</v>
      </c>
      <c r="T218" s="37" t="n">
        <v>0.976</v>
      </c>
      <c r="U218" s="38">
        <f>IFERROR([@InspDone]/[@InspPlanned],0)</f>
        <v/>
      </c>
      <c r="V218" s="38">
        <f>IFERROR([@ObsClosed]/[@ObsRaised],0)</f>
        <v/>
      </c>
    </row>
    <row r="219">
      <c r="A219" s="33" t="n">
        <v>45778</v>
      </c>
      <c r="B219" s="28">
        <f>YEAR([@Period])</f>
        <v/>
      </c>
      <c r="C219" s="28">
        <f>TEXT([@Period],"mmm")</f>
        <v/>
      </c>
      <c r="D219" s="30">
        <f>MONTH([@Period])</f>
        <v/>
      </c>
      <c r="E219" s="28" t="inlineStr">
        <is>
          <t>Administration</t>
        </is>
      </c>
      <c r="F219" s="28" t="inlineStr">
        <is>
          <t>Administration</t>
        </is>
      </c>
      <c r="G219" s="28" t="inlineStr">
        <is>
          <t>Owner (Asanko)</t>
        </is>
      </c>
      <c r="H219" s="34" t="n">
        <v>12180</v>
      </c>
      <c r="I219" s="35" t="n">
        <v>1</v>
      </c>
      <c r="J219" s="35" t="n">
        <v>1</v>
      </c>
      <c r="K219" s="35" t="n">
        <v>4</v>
      </c>
      <c r="L219" s="35" t="n">
        <v>3</v>
      </c>
      <c r="M219" s="35" t="n">
        <v>3</v>
      </c>
      <c r="N219" s="35" t="n">
        <v>3</v>
      </c>
      <c r="O219" s="36" t="n">
        <v>0.995</v>
      </c>
      <c r="P219" s="35" t="n">
        <v>0</v>
      </c>
      <c r="Q219" s="35" t="n">
        <v>1</v>
      </c>
      <c r="R219" s="35" t="n">
        <v>10</v>
      </c>
      <c r="S219" s="35" t="n">
        <v>9</v>
      </c>
      <c r="T219" s="37" t="n">
        <v>0.924</v>
      </c>
      <c r="U219" s="38">
        <f>IFERROR([@InspDone]/[@InspPlanned],0)</f>
        <v/>
      </c>
      <c r="V219" s="38">
        <f>IFERROR([@ObsClosed]/[@ObsRaised],0)</f>
        <v/>
      </c>
    </row>
    <row r="220">
      <c r="A220" s="33" t="n">
        <v>45778</v>
      </c>
      <c r="B220" s="28">
        <f>YEAR([@Period])</f>
        <v/>
      </c>
      <c r="C220" s="28">
        <f>TEXT([@Period],"mmm")</f>
        <v/>
      </c>
      <c r="D220" s="30">
        <f>MONTH([@Period])</f>
        <v/>
      </c>
      <c r="E220" s="28" t="inlineStr">
        <is>
          <t>Accommodation Camp</t>
        </is>
      </c>
      <c r="F220" s="28" t="inlineStr">
        <is>
          <t>Administration</t>
        </is>
      </c>
      <c r="G220" s="28" t="inlineStr">
        <is>
          <t>Catering Co (Camp)</t>
        </is>
      </c>
      <c r="H220" s="34" t="n">
        <v>5430</v>
      </c>
      <c r="I220" s="35" t="n">
        <v>2</v>
      </c>
      <c r="J220" s="35" t="n">
        <v>1</v>
      </c>
      <c r="K220" s="35" t="n">
        <v>2</v>
      </c>
      <c r="L220" s="35" t="n">
        <v>2</v>
      </c>
      <c r="M220" s="35" t="n">
        <v>2</v>
      </c>
      <c r="N220" s="35" t="n">
        <v>2</v>
      </c>
      <c r="O220" s="36" t="n">
        <v>0.909</v>
      </c>
      <c r="P220" s="35" t="n">
        <v>1</v>
      </c>
      <c r="Q220" s="35" t="n">
        <v>2</v>
      </c>
      <c r="R220" s="35" t="n">
        <v>5</v>
      </c>
      <c r="S220" s="35" t="n">
        <v>5</v>
      </c>
      <c r="T220" s="37" t="n">
        <v>0.901</v>
      </c>
      <c r="U220" s="38">
        <f>IFERROR([@InspDone]/[@InspPlanned],0)</f>
        <v/>
      </c>
      <c r="V220" s="38">
        <f>IFERROR([@ObsClosed]/[@ObsRaised],0)</f>
        <v/>
      </c>
    </row>
    <row r="221">
      <c r="A221" s="33" t="n">
        <v>45778</v>
      </c>
      <c r="B221" s="28">
        <f>YEAR([@Period])</f>
        <v/>
      </c>
      <c r="C221" s="28">
        <f>TEXT([@Period],"mmm")</f>
        <v/>
      </c>
      <c r="D221" s="30">
        <f>MONTH([@Period])</f>
        <v/>
      </c>
      <c r="E221" s="28" t="inlineStr">
        <is>
          <t>Security Gatehouse</t>
        </is>
      </c>
      <c r="F221" s="28" t="inlineStr">
        <is>
          <t>Security</t>
        </is>
      </c>
      <c r="G221" s="28" t="inlineStr">
        <is>
          <t>G4S (Security)</t>
        </is>
      </c>
      <c r="H221" s="34" t="n">
        <v>9495</v>
      </c>
      <c r="I221" s="35" t="n">
        <v>0</v>
      </c>
      <c r="J221" s="35" t="n">
        <v>2</v>
      </c>
      <c r="K221" s="35" t="n">
        <v>4</v>
      </c>
      <c r="L221" s="35" t="n">
        <v>3</v>
      </c>
      <c r="M221" s="35" t="n">
        <v>2</v>
      </c>
      <c r="N221" s="35" t="n">
        <v>2</v>
      </c>
      <c r="O221" s="36" t="n">
        <v>0.918</v>
      </c>
      <c r="P221" s="35" t="n">
        <v>1</v>
      </c>
      <c r="Q221" s="35" t="n">
        <v>3</v>
      </c>
      <c r="R221" s="35" t="n">
        <v>7</v>
      </c>
      <c r="S221" s="35" t="n">
        <v>6</v>
      </c>
      <c r="T221" s="37" t="n">
        <v>0.948</v>
      </c>
      <c r="U221" s="38">
        <f>IFERROR([@InspDone]/[@InspPlanned],0)</f>
        <v/>
      </c>
      <c r="V221" s="38">
        <f>IFERROR([@ObsClosed]/[@ObsRaised],0)</f>
        <v/>
      </c>
    </row>
    <row r="222">
      <c r="A222" s="33" t="n">
        <v>45809</v>
      </c>
      <c r="B222" s="28">
        <f>YEAR([@Period])</f>
        <v/>
      </c>
      <c r="C222" s="28">
        <f>TEXT([@Period],"mmm")</f>
        <v/>
      </c>
      <c r="D222" s="30">
        <f>MONTH([@Period])</f>
        <v/>
      </c>
      <c r="E222" s="28" t="inlineStr">
        <is>
          <t>Nkran Open Pit</t>
        </is>
      </c>
      <c r="F222" s="28" t="inlineStr">
        <is>
          <t>Mining</t>
        </is>
      </c>
      <c r="G222" s="28" t="inlineStr">
        <is>
          <t>AUMS (Mining Contractor)</t>
        </is>
      </c>
      <c r="H222" s="34" t="n">
        <v>25320</v>
      </c>
      <c r="I222" s="35" t="n">
        <v>6</v>
      </c>
      <c r="J222" s="35" t="n">
        <v>8</v>
      </c>
      <c r="K222" s="35" t="n">
        <v>11</v>
      </c>
      <c r="L222" s="35" t="n">
        <v>8</v>
      </c>
      <c r="M222" s="35" t="n">
        <v>6</v>
      </c>
      <c r="N222" s="35" t="n">
        <v>6</v>
      </c>
      <c r="O222" s="36" t="n">
        <v>0.9429999999999999</v>
      </c>
      <c r="P222" s="35" t="n">
        <v>0</v>
      </c>
      <c r="Q222" s="35" t="n">
        <v>13</v>
      </c>
      <c r="R222" s="35" t="n">
        <v>20</v>
      </c>
      <c r="S222" s="35" t="n">
        <v>19</v>
      </c>
      <c r="T222" s="37" t="n">
        <v>0.915</v>
      </c>
      <c r="U222" s="38">
        <f>IFERROR([@InspDone]/[@InspPlanned],0)</f>
        <v/>
      </c>
      <c r="V222" s="38">
        <f>IFERROR([@ObsClosed]/[@ObsRaised],0)</f>
        <v/>
      </c>
    </row>
    <row r="223">
      <c r="A223" s="33" t="n">
        <v>45809</v>
      </c>
      <c r="B223" s="28">
        <f>YEAR([@Period])</f>
        <v/>
      </c>
      <c r="C223" s="28">
        <f>TEXT([@Period],"mmm")</f>
        <v/>
      </c>
      <c r="D223" s="30">
        <f>MONTH([@Period])</f>
        <v/>
      </c>
      <c r="E223" s="28" t="inlineStr">
        <is>
          <t>Esaase Open Pit</t>
        </is>
      </c>
      <c r="F223" s="28" t="inlineStr">
        <is>
          <t>Mining</t>
        </is>
      </c>
      <c r="G223" s="28" t="inlineStr">
        <is>
          <t>AUMS (Mining Contractor)</t>
        </is>
      </c>
      <c r="H223" s="34" t="n">
        <v>20020</v>
      </c>
      <c r="I223" s="35" t="n">
        <v>4</v>
      </c>
      <c r="J223" s="35" t="n">
        <v>4</v>
      </c>
      <c r="K223" s="35" t="n">
        <v>8</v>
      </c>
      <c r="L223" s="35" t="n">
        <v>7</v>
      </c>
      <c r="M223" s="35" t="n">
        <v>6</v>
      </c>
      <c r="N223" s="35" t="n">
        <v>5</v>
      </c>
      <c r="O223" s="36" t="n">
        <v>0.902</v>
      </c>
      <c r="P223" s="35" t="n">
        <v>1</v>
      </c>
      <c r="Q223" s="35" t="n">
        <v>16</v>
      </c>
      <c r="R223" s="35" t="n">
        <v>18</v>
      </c>
      <c r="S223" s="35" t="n">
        <v>16</v>
      </c>
      <c r="T223" s="37" t="n">
        <v>0.9399999999999999</v>
      </c>
      <c r="U223" s="38">
        <f>IFERROR([@InspDone]/[@InspPlanned],0)</f>
        <v/>
      </c>
      <c r="V223" s="38">
        <f>IFERROR([@ObsClosed]/[@ObsRaised],0)</f>
        <v/>
      </c>
    </row>
    <row r="224">
      <c r="A224" s="33" t="n">
        <v>45809</v>
      </c>
      <c r="B224" s="28">
        <f>YEAR([@Period])</f>
        <v/>
      </c>
      <c r="C224" s="28">
        <f>TEXT([@Period],"mmm")</f>
        <v/>
      </c>
      <c r="D224" s="30">
        <f>MONTH([@Period])</f>
        <v/>
      </c>
      <c r="E224" s="28" t="inlineStr">
        <is>
          <t>Drill &amp; Blast</t>
        </is>
      </c>
      <c r="F224" s="28" t="inlineStr">
        <is>
          <t>Mining</t>
        </is>
      </c>
      <c r="G224" s="28" t="inlineStr">
        <is>
          <t>Maxam (Blasting)</t>
        </is>
      </c>
      <c r="H224" s="34" t="n">
        <v>7880</v>
      </c>
      <c r="I224" s="35" t="n">
        <v>1</v>
      </c>
      <c r="J224" s="35" t="n">
        <v>5</v>
      </c>
      <c r="K224" s="35" t="n">
        <v>5</v>
      </c>
      <c r="L224" s="35" t="n">
        <v>4</v>
      </c>
      <c r="M224" s="35" t="n">
        <v>2</v>
      </c>
      <c r="N224" s="35" t="n">
        <v>2</v>
      </c>
      <c r="O224" s="36" t="n">
        <v>0.929</v>
      </c>
      <c r="P224" s="35" t="n">
        <v>1</v>
      </c>
      <c r="Q224" s="35" t="n">
        <v>2</v>
      </c>
      <c r="R224" s="35" t="n">
        <v>6</v>
      </c>
      <c r="S224" s="35" t="n">
        <v>6</v>
      </c>
      <c r="T224" s="37" t="n">
        <v>0.956</v>
      </c>
      <c r="U224" s="38">
        <f>IFERROR([@InspDone]/[@InspPlanned],0)</f>
        <v/>
      </c>
      <c r="V224" s="38">
        <f>IFERROR([@ObsClosed]/[@ObsRaised],0)</f>
        <v/>
      </c>
    </row>
    <row r="225">
      <c r="A225" s="33" t="n">
        <v>45809</v>
      </c>
      <c r="B225" s="28">
        <f>YEAR([@Period])</f>
        <v/>
      </c>
      <c r="C225" s="28">
        <f>TEXT([@Period],"mmm")</f>
        <v/>
      </c>
      <c r="D225" s="30">
        <f>MONTH([@Period])</f>
        <v/>
      </c>
      <c r="E225" s="28" t="inlineStr">
        <is>
          <t>Haul Roads</t>
        </is>
      </c>
      <c r="F225" s="28" t="inlineStr">
        <is>
          <t>Mining</t>
        </is>
      </c>
      <c r="G225" s="28" t="inlineStr">
        <is>
          <t>AUMS (Mining Contractor)</t>
        </is>
      </c>
      <c r="H225" s="34" t="n">
        <v>12780</v>
      </c>
      <c r="I225" s="35" t="n">
        <v>3</v>
      </c>
      <c r="J225" s="35" t="n">
        <v>0</v>
      </c>
      <c r="K225" s="35" t="n">
        <v>6</v>
      </c>
      <c r="L225" s="35" t="n">
        <v>5</v>
      </c>
      <c r="M225" s="35" t="n">
        <v>3</v>
      </c>
      <c r="N225" s="35" t="n">
        <v>3</v>
      </c>
      <c r="O225" s="36" t="n">
        <v>0.962</v>
      </c>
      <c r="P225" s="35" t="n">
        <v>1</v>
      </c>
      <c r="Q225" s="35" t="n">
        <v>7</v>
      </c>
      <c r="R225" s="35" t="n">
        <v>10</v>
      </c>
      <c r="S225" s="35" t="n">
        <v>9</v>
      </c>
      <c r="T225" s="37" t="n">
        <v>0.917</v>
      </c>
      <c r="U225" s="38">
        <f>IFERROR([@InspDone]/[@InspPlanned],0)</f>
        <v/>
      </c>
      <c r="V225" s="38">
        <f>IFERROR([@ObsClosed]/[@ObsRaised],0)</f>
        <v/>
      </c>
    </row>
    <row r="226">
      <c r="A226" s="33" t="n">
        <v>45809</v>
      </c>
      <c r="B226" s="28">
        <f>YEAR([@Period])</f>
        <v/>
      </c>
      <c r="C226" s="28">
        <f>TEXT([@Period],"mmm")</f>
        <v/>
      </c>
      <c r="D226" s="30">
        <f>MONTH([@Period])</f>
        <v/>
      </c>
      <c r="E226" s="28" t="inlineStr">
        <is>
          <t>Explosives Magazine</t>
        </is>
      </c>
      <c r="F226" s="28" t="inlineStr">
        <is>
          <t>Mining</t>
        </is>
      </c>
      <c r="G226" s="28" t="inlineStr">
        <is>
          <t>Maxam (Blasting)</t>
        </is>
      </c>
      <c r="H226" s="34" t="n">
        <v>3105</v>
      </c>
      <c r="I226" s="35" t="n">
        <v>1</v>
      </c>
      <c r="J226" s="35" t="n">
        <v>2</v>
      </c>
      <c r="K226" s="35" t="n">
        <v>0</v>
      </c>
      <c r="L226" s="35" t="n">
        <v>0</v>
      </c>
      <c r="M226" s="35" t="n">
        <v>2</v>
      </c>
      <c r="N226" s="35" t="n">
        <v>2</v>
      </c>
      <c r="O226" s="36" t="n">
        <v>0.901</v>
      </c>
      <c r="P226" s="35" t="n">
        <v>1</v>
      </c>
      <c r="Q226" s="35" t="n">
        <v>1</v>
      </c>
      <c r="R226" s="35" t="n">
        <v>3</v>
      </c>
      <c r="S226" s="35" t="n">
        <v>3</v>
      </c>
      <c r="T226" s="37" t="n">
        <v>0.96</v>
      </c>
      <c r="U226" s="38">
        <f>IFERROR([@InspDone]/[@InspPlanned],0)</f>
        <v/>
      </c>
      <c r="V226" s="38">
        <f>IFERROR([@ObsClosed]/[@ObsRaised],0)</f>
        <v/>
      </c>
    </row>
    <row r="227">
      <c r="A227" s="33" t="n">
        <v>45809</v>
      </c>
      <c r="B227" s="28">
        <f>YEAR([@Period])</f>
        <v/>
      </c>
      <c r="C227" s="28">
        <f>TEXT([@Period],"mmm")</f>
        <v/>
      </c>
      <c r="D227" s="30">
        <f>MONTH([@Period])</f>
        <v/>
      </c>
      <c r="E227" s="28" t="inlineStr">
        <is>
          <t>Crushing Circuit</t>
        </is>
      </c>
      <c r="F227" s="28" t="inlineStr">
        <is>
          <t>Processing</t>
        </is>
      </c>
      <c r="G227" s="28" t="inlineStr">
        <is>
          <t>Owner (Asanko)</t>
        </is>
      </c>
      <c r="H227" s="34" t="n">
        <v>7175</v>
      </c>
      <c r="I227" s="35" t="n">
        <v>1</v>
      </c>
      <c r="J227" s="35" t="n">
        <v>1</v>
      </c>
      <c r="K227" s="35" t="n">
        <v>4</v>
      </c>
      <c r="L227" s="35" t="n">
        <v>4</v>
      </c>
      <c r="M227" s="35" t="n">
        <v>2</v>
      </c>
      <c r="N227" s="35" t="n">
        <v>2</v>
      </c>
      <c r="O227" s="36" t="n">
        <v>0.93</v>
      </c>
      <c r="P227" s="35" t="n">
        <v>0</v>
      </c>
      <c r="Q227" s="35" t="n">
        <v>4</v>
      </c>
      <c r="R227" s="35" t="n">
        <v>5</v>
      </c>
      <c r="S227" s="35" t="n">
        <v>5</v>
      </c>
      <c r="T227" s="37" t="n">
        <v>0.904</v>
      </c>
      <c r="U227" s="38">
        <f>IFERROR([@InspDone]/[@InspPlanned],0)</f>
        <v/>
      </c>
      <c r="V227" s="38">
        <f>IFERROR([@ObsClosed]/[@ObsRaised],0)</f>
        <v/>
      </c>
    </row>
    <row r="228">
      <c r="A228" s="33" t="n">
        <v>45809</v>
      </c>
      <c r="B228" s="28">
        <f>YEAR([@Period])</f>
        <v/>
      </c>
      <c r="C228" s="28">
        <f>TEXT([@Period],"mmm")</f>
        <v/>
      </c>
      <c r="D228" s="30">
        <f>MONTH([@Period])</f>
        <v/>
      </c>
      <c r="E228" s="28" t="inlineStr">
        <is>
          <t>Processing Plant (CIL)</t>
        </is>
      </c>
      <c r="F228" s="28" t="inlineStr">
        <is>
          <t>Processing</t>
        </is>
      </c>
      <c r="G228" s="28" t="inlineStr">
        <is>
          <t>Owner (Asanko)</t>
        </is>
      </c>
      <c r="H228" s="34" t="n">
        <v>19350</v>
      </c>
      <c r="I228" s="35" t="n">
        <v>4</v>
      </c>
      <c r="J228" s="35" t="n">
        <v>2</v>
      </c>
      <c r="K228" s="35" t="n">
        <v>12</v>
      </c>
      <c r="L228" s="35" t="n">
        <v>11</v>
      </c>
      <c r="M228" s="35" t="n">
        <v>5</v>
      </c>
      <c r="N228" s="35" t="n">
        <v>5</v>
      </c>
      <c r="O228" s="36" t="n">
        <v>0.98</v>
      </c>
      <c r="P228" s="35" t="n">
        <v>1</v>
      </c>
      <c r="Q228" s="35" t="n">
        <v>5</v>
      </c>
      <c r="R228" s="35" t="n">
        <v>15</v>
      </c>
      <c r="S228" s="35" t="n">
        <v>14</v>
      </c>
      <c r="T228" s="37" t="n">
        <v>0.972</v>
      </c>
      <c r="U228" s="38">
        <f>IFERROR([@InspDone]/[@InspPlanned],0)</f>
        <v/>
      </c>
      <c r="V228" s="38">
        <f>IFERROR([@ObsClosed]/[@ObsRaised],0)</f>
        <v/>
      </c>
    </row>
    <row r="229">
      <c r="A229" s="33" t="n">
        <v>45809</v>
      </c>
      <c r="B229" s="28">
        <f>YEAR([@Period])</f>
        <v/>
      </c>
      <c r="C229" s="28">
        <f>TEXT([@Period],"mmm")</f>
        <v/>
      </c>
      <c r="D229" s="30">
        <f>MONTH([@Period])</f>
        <v/>
      </c>
      <c r="E229" s="28" t="inlineStr">
        <is>
          <t>Elution &amp; Gold Room</t>
        </is>
      </c>
      <c r="F229" s="28" t="inlineStr">
        <is>
          <t>Processing</t>
        </is>
      </c>
      <c r="G229" s="28" t="inlineStr">
        <is>
          <t>Owner (Asanko)</t>
        </is>
      </c>
      <c r="H229" s="34" t="n">
        <v>3700</v>
      </c>
      <c r="I229" s="35" t="n">
        <v>1</v>
      </c>
      <c r="J229" s="35" t="n">
        <v>2</v>
      </c>
      <c r="K229" s="35" t="n">
        <v>1</v>
      </c>
      <c r="L229" s="35" t="n">
        <v>1</v>
      </c>
      <c r="M229" s="35" t="n">
        <v>2</v>
      </c>
      <c r="N229" s="35" t="n">
        <v>2</v>
      </c>
      <c r="O229" s="36" t="n">
        <v>0.886</v>
      </c>
      <c r="P229" s="35" t="n">
        <v>1</v>
      </c>
      <c r="Q229" s="35" t="n">
        <v>1</v>
      </c>
      <c r="R229" s="35" t="n">
        <v>3</v>
      </c>
      <c r="S229" s="35" t="n">
        <v>3</v>
      </c>
      <c r="T229" s="37" t="n">
        <v>0.971</v>
      </c>
      <c r="U229" s="38">
        <f>IFERROR([@InspDone]/[@InspPlanned],0)</f>
        <v/>
      </c>
      <c r="V229" s="38">
        <f>IFERROR([@ObsClosed]/[@ObsRaised],0)</f>
        <v/>
      </c>
    </row>
    <row r="230">
      <c r="A230" s="33" t="n">
        <v>45809</v>
      </c>
      <c r="B230" s="28">
        <f>YEAR([@Period])</f>
        <v/>
      </c>
      <c r="C230" s="28">
        <f>TEXT([@Period],"mmm")</f>
        <v/>
      </c>
      <c r="D230" s="30">
        <f>MONTH([@Period])</f>
        <v/>
      </c>
      <c r="E230" s="28" t="inlineStr">
        <is>
          <t>Tailings Storage Facility</t>
        </is>
      </c>
      <c r="F230" s="28" t="inlineStr">
        <is>
          <t>Environment</t>
        </is>
      </c>
      <c r="G230" s="28" t="inlineStr">
        <is>
          <t>Owner (Asanko)</t>
        </is>
      </c>
      <c r="H230" s="34" t="n">
        <v>3834</v>
      </c>
      <c r="I230" s="35" t="n">
        <v>2</v>
      </c>
      <c r="J230" s="35" t="n">
        <v>0</v>
      </c>
      <c r="K230" s="35" t="n">
        <v>5</v>
      </c>
      <c r="L230" s="35" t="n">
        <v>4</v>
      </c>
      <c r="M230" s="35" t="n">
        <v>2</v>
      </c>
      <c r="N230" s="35" t="n">
        <v>2</v>
      </c>
      <c r="O230" s="36" t="n">
        <v>0.995</v>
      </c>
      <c r="P230" s="35" t="n">
        <v>1</v>
      </c>
      <c r="Q230" s="35" t="n">
        <v>0</v>
      </c>
      <c r="R230" s="35" t="n">
        <v>3</v>
      </c>
      <c r="S230" s="35" t="n">
        <v>3</v>
      </c>
      <c r="T230" s="37" t="n">
        <v>0.972</v>
      </c>
      <c r="U230" s="38">
        <f>IFERROR([@InspDone]/[@InspPlanned],0)</f>
        <v/>
      </c>
      <c r="V230" s="38">
        <f>IFERROR([@ObsClosed]/[@ObsRaised],0)</f>
        <v/>
      </c>
    </row>
    <row r="231">
      <c r="A231" s="33" t="n">
        <v>45809</v>
      </c>
      <c r="B231" s="28">
        <f>YEAR([@Period])</f>
        <v/>
      </c>
      <c r="C231" s="28">
        <f>TEXT([@Period],"mmm")</f>
        <v/>
      </c>
      <c r="D231" s="30">
        <f>MONTH([@Period])</f>
        <v/>
      </c>
      <c r="E231" s="28" t="inlineStr">
        <is>
          <t>Water Treatment</t>
        </is>
      </c>
      <c r="F231" s="28" t="inlineStr">
        <is>
          <t>Environment</t>
        </is>
      </c>
      <c r="G231" s="28" t="inlineStr">
        <is>
          <t>Owner (Asanko)</t>
        </is>
      </c>
      <c r="H231" s="34" t="n">
        <v>2352</v>
      </c>
      <c r="I231" s="35" t="n">
        <v>0</v>
      </c>
      <c r="J231" s="35" t="n">
        <v>4</v>
      </c>
      <c r="K231" s="35" t="n">
        <v>2</v>
      </c>
      <c r="L231" s="35" t="n">
        <v>2</v>
      </c>
      <c r="M231" s="35" t="n">
        <v>2</v>
      </c>
      <c r="N231" s="35" t="n">
        <v>2</v>
      </c>
      <c r="O231" s="36" t="n">
        <v>0.983</v>
      </c>
      <c r="P231" s="35" t="n">
        <v>0</v>
      </c>
      <c r="Q231" s="35" t="n">
        <v>2</v>
      </c>
      <c r="R231" s="35" t="n">
        <v>3</v>
      </c>
      <c r="S231" s="35" t="n">
        <v>3</v>
      </c>
      <c r="T231" s="37" t="n">
        <v>0.99</v>
      </c>
      <c r="U231" s="38">
        <f>IFERROR([@InspDone]/[@InspPlanned],0)</f>
        <v/>
      </c>
      <c r="V231" s="38">
        <f>IFERROR([@ObsClosed]/[@ObsRaised],0)</f>
        <v/>
      </c>
    </row>
    <row r="232">
      <c r="A232" s="33" t="n">
        <v>45809</v>
      </c>
      <c r="B232" s="28">
        <f>YEAR([@Period])</f>
        <v/>
      </c>
      <c r="C232" s="28">
        <f>TEXT([@Period],"mmm")</f>
        <v/>
      </c>
      <c r="D232" s="30">
        <f>MONTH([@Period])</f>
        <v/>
      </c>
      <c r="E232" s="28" t="inlineStr">
        <is>
          <t>Assay Laboratory</t>
        </is>
      </c>
      <c r="F232" s="28" t="inlineStr">
        <is>
          <t>Laboratory</t>
        </is>
      </c>
      <c r="G232" s="28" t="inlineStr">
        <is>
          <t>SGS (Laboratory)</t>
        </is>
      </c>
      <c r="H232" s="34" t="n">
        <v>4700</v>
      </c>
      <c r="I232" s="35" t="n">
        <v>4</v>
      </c>
      <c r="J232" s="35" t="n">
        <v>0</v>
      </c>
      <c r="K232" s="35" t="n">
        <v>4</v>
      </c>
      <c r="L232" s="35" t="n">
        <v>3</v>
      </c>
      <c r="M232" s="35" t="n">
        <v>2</v>
      </c>
      <c r="N232" s="35" t="n">
        <v>2</v>
      </c>
      <c r="O232" s="36" t="n">
        <v>0.967</v>
      </c>
      <c r="P232" s="35" t="n">
        <v>0</v>
      </c>
      <c r="Q232" s="35" t="n">
        <v>1</v>
      </c>
      <c r="R232" s="35" t="n">
        <v>4</v>
      </c>
      <c r="S232" s="35" t="n">
        <v>4</v>
      </c>
      <c r="T232" s="37" t="n">
        <v>0.9389999999999999</v>
      </c>
      <c r="U232" s="38">
        <f>IFERROR([@InspDone]/[@InspPlanned],0)</f>
        <v/>
      </c>
      <c r="V232" s="38">
        <f>IFERROR([@ObsClosed]/[@ObsRaised],0)</f>
        <v/>
      </c>
    </row>
    <row r="233">
      <c r="A233" s="33" t="n">
        <v>45809</v>
      </c>
      <c r="B233" s="28">
        <f>YEAR([@Period])</f>
        <v/>
      </c>
      <c r="C233" s="28">
        <f>TEXT([@Period],"mmm")</f>
        <v/>
      </c>
      <c r="D233" s="30">
        <f>MONTH([@Period])</f>
        <v/>
      </c>
      <c r="E233" s="28" t="inlineStr">
        <is>
          <t>HME Workshop</t>
        </is>
      </c>
      <c r="F233" s="28" t="inlineStr">
        <is>
          <t>Engineering</t>
        </is>
      </c>
      <c r="G233" s="28" t="inlineStr">
        <is>
          <t>Owner (Asanko)</t>
        </is>
      </c>
      <c r="H233" s="34" t="n">
        <v>11055</v>
      </c>
      <c r="I233" s="35" t="n">
        <v>0</v>
      </c>
      <c r="J233" s="35" t="n">
        <v>0</v>
      </c>
      <c r="K233" s="35" t="n">
        <v>7</v>
      </c>
      <c r="L233" s="35" t="n">
        <v>6</v>
      </c>
      <c r="M233" s="35" t="n">
        <v>3</v>
      </c>
      <c r="N233" s="35" t="n">
        <v>3</v>
      </c>
      <c r="O233" s="36" t="n">
        <v>0.981</v>
      </c>
      <c r="P233" s="35" t="n">
        <v>0</v>
      </c>
      <c r="Q233" s="35" t="n">
        <v>3</v>
      </c>
      <c r="R233" s="35" t="n">
        <v>9</v>
      </c>
      <c r="S233" s="35" t="n">
        <v>9</v>
      </c>
      <c r="T233" s="37" t="n">
        <v>0.946</v>
      </c>
      <c r="U233" s="38">
        <f>IFERROR([@InspDone]/[@InspPlanned],0)</f>
        <v/>
      </c>
      <c r="V233" s="38">
        <f>IFERROR([@ObsClosed]/[@ObsRaised],0)</f>
        <v/>
      </c>
    </row>
    <row r="234">
      <c r="A234" s="33" t="n">
        <v>45809</v>
      </c>
      <c r="B234" s="28">
        <f>YEAR([@Period])</f>
        <v/>
      </c>
      <c r="C234" s="28">
        <f>TEXT([@Period],"mmm")</f>
        <v/>
      </c>
      <c r="D234" s="30">
        <f>MONTH([@Period])</f>
        <v/>
      </c>
      <c r="E234" s="28" t="inlineStr">
        <is>
          <t>Fuel Farm</t>
        </is>
      </c>
      <c r="F234" s="28" t="inlineStr">
        <is>
          <t>Engineering</t>
        </is>
      </c>
      <c r="G234" s="28" t="inlineStr">
        <is>
          <t>Owner (Asanko)</t>
        </is>
      </c>
      <c r="H234" s="34" t="n">
        <v>1980</v>
      </c>
      <c r="I234" s="35" t="n">
        <v>0</v>
      </c>
      <c r="J234" s="35" t="n">
        <v>4</v>
      </c>
      <c r="K234" s="35" t="n">
        <v>6</v>
      </c>
      <c r="L234" s="35" t="n">
        <v>5</v>
      </c>
      <c r="M234" s="35" t="n">
        <v>2</v>
      </c>
      <c r="N234" s="35" t="n">
        <v>2</v>
      </c>
      <c r="O234" s="36" t="n">
        <v>0.969</v>
      </c>
      <c r="P234" s="35" t="n">
        <v>1</v>
      </c>
      <c r="Q234" s="35" t="n">
        <v>4</v>
      </c>
      <c r="R234" s="35" t="n">
        <v>3</v>
      </c>
      <c r="S234" s="35" t="n">
        <v>3</v>
      </c>
      <c r="T234" s="37" t="n">
        <v>0.953</v>
      </c>
      <c r="U234" s="38">
        <f>IFERROR([@InspDone]/[@InspPlanned],0)</f>
        <v/>
      </c>
      <c r="V234" s="38">
        <f>IFERROR([@ObsClosed]/[@ObsRaised],0)</f>
        <v/>
      </c>
    </row>
    <row r="235">
      <c r="A235" s="33" t="n">
        <v>45809</v>
      </c>
      <c r="B235" s="28">
        <f>YEAR([@Period])</f>
        <v/>
      </c>
      <c r="C235" s="28">
        <f>TEXT([@Period],"mmm")</f>
        <v/>
      </c>
      <c r="D235" s="30">
        <f>MONTH([@Period])</f>
        <v/>
      </c>
      <c r="E235" s="28" t="inlineStr">
        <is>
          <t>Power Station</t>
        </is>
      </c>
      <c r="F235" s="28" t="inlineStr">
        <is>
          <t>Engineering</t>
        </is>
      </c>
      <c r="G235" s="28" t="inlineStr">
        <is>
          <t>Genser (Power)</t>
        </is>
      </c>
      <c r="H235" s="34" t="n">
        <v>4708</v>
      </c>
      <c r="I235" s="35" t="n">
        <v>1</v>
      </c>
      <c r="J235" s="35" t="n">
        <v>3</v>
      </c>
      <c r="K235" s="35" t="n">
        <v>2</v>
      </c>
      <c r="L235" s="35" t="n">
        <v>2</v>
      </c>
      <c r="M235" s="35" t="n">
        <v>2</v>
      </c>
      <c r="N235" s="35" t="n">
        <v>2</v>
      </c>
      <c r="O235" s="36" t="n">
        <v>0.9399999999999999</v>
      </c>
      <c r="P235" s="35" t="n">
        <v>1</v>
      </c>
      <c r="Q235" s="35" t="n">
        <v>2</v>
      </c>
      <c r="R235" s="35" t="n">
        <v>3</v>
      </c>
      <c r="S235" s="35" t="n">
        <v>3</v>
      </c>
      <c r="T235" s="37" t="n">
        <v>0.929</v>
      </c>
      <c r="U235" s="38">
        <f>IFERROR([@InspDone]/[@InspPlanned],0)</f>
        <v/>
      </c>
      <c r="V235" s="38">
        <f>IFERROR([@ObsClosed]/[@ObsRaised],0)</f>
        <v/>
      </c>
    </row>
    <row r="236">
      <c r="A236" s="33" t="n">
        <v>45809</v>
      </c>
      <c r="B236" s="28">
        <f>YEAR([@Period])</f>
        <v/>
      </c>
      <c r="C236" s="28">
        <f>TEXT([@Period],"mmm")</f>
        <v/>
      </c>
      <c r="D236" s="30">
        <f>MONTH([@Period])</f>
        <v/>
      </c>
      <c r="E236" s="28" t="inlineStr">
        <is>
          <t>Warehouse &amp; Stores</t>
        </is>
      </c>
      <c r="F236" s="28" t="inlineStr">
        <is>
          <t>Logistics</t>
        </is>
      </c>
      <c r="G236" s="28" t="inlineStr">
        <is>
          <t>Owner (Asanko)</t>
        </is>
      </c>
      <c r="H236" s="34" t="n">
        <v>4920</v>
      </c>
      <c r="I236" s="35" t="n">
        <v>2</v>
      </c>
      <c r="J236" s="35" t="n">
        <v>0</v>
      </c>
      <c r="K236" s="35" t="n">
        <v>1</v>
      </c>
      <c r="L236" s="35" t="n">
        <v>1</v>
      </c>
      <c r="M236" s="35" t="n">
        <v>2</v>
      </c>
      <c r="N236" s="35" t="n">
        <v>2</v>
      </c>
      <c r="O236" s="36" t="n">
        <v>0.971</v>
      </c>
      <c r="P236" s="35" t="n">
        <v>1</v>
      </c>
      <c r="Q236" s="35" t="n">
        <v>2</v>
      </c>
      <c r="R236" s="35" t="n">
        <v>4</v>
      </c>
      <c r="S236" s="35" t="n">
        <v>4</v>
      </c>
      <c r="T236" s="37" t="n">
        <v>0.946</v>
      </c>
      <c r="U236" s="38">
        <f>IFERROR([@InspDone]/[@InspPlanned],0)</f>
        <v/>
      </c>
      <c r="V236" s="38">
        <f>IFERROR([@ObsClosed]/[@ObsRaised],0)</f>
        <v/>
      </c>
    </row>
    <row r="237">
      <c r="A237" s="33" t="n">
        <v>45809</v>
      </c>
      <c r="B237" s="28">
        <f>YEAR([@Period])</f>
        <v/>
      </c>
      <c r="C237" s="28">
        <f>TEXT([@Period],"mmm")</f>
        <v/>
      </c>
      <c r="D237" s="30">
        <f>MONTH([@Period])</f>
        <v/>
      </c>
      <c r="E237" s="28" t="inlineStr">
        <is>
          <t>Administration</t>
        </is>
      </c>
      <c r="F237" s="28" t="inlineStr">
        <is>
          <t>Administration</t>
        </is>
      </c>
      <c r="G237" s="28" t="inlineStr">
        <is>
          <t>Owner (Asanko)</t>
        </is>
      </c>
      <c r="H237" s="34" t="n">
        <v>11460</v>
      </c>
      <c r="I237" s="35" t="n">
        <v>3</v>
      </c>
      <c r="J237" s="35" t="n">
        <v>1</v>
      </c>
      <c r="K237" s="35" t="n">
        <v>6</v>
      </c>
      <c r="L237" s="35" t="n">
        <v>6</v>
      </c>
      <c r="M237" s="35" t="n">
        <v>3</v>
      </c>
      <c r="N237" s="35" t="n">
        <v>3</v>
      </c>
      <c r="O237" s="36" t="n">
        <v>0.979</v>
      </c>
      <c r="P237" s="35" t="n">
        <v>0</v>
      </c>
      <c r="Q237" s="35" t="n">
        <v>2</v>
      </c>
      <c r="R237" s="35" t="n">
        <v>10</v>
      </c>
      <c r="S237" s="35" t="n">
        <v>10</v>
      </c>
      <c r="T237" s="37" t="n">
        <v>0.95</v>
      </c>
      <c r="U237" s="38">
        <f>IFERROR([@InspDone]/[@InspPlanned],0)</f>
        <v/>
      </c>
      <c r="V237" s="38">
        <f>IFERROR([@ObsClosed]/[@ObsRaised],0)</f>
        <v/>
      </c>
    </row>
    <row r="238">
      <c r="A238" s="33" t="n">
        <v>45809</v>
      </c>
      <c r="B238" s="28">
        <f>YEAR([@Period])</f>
        <v/>
      </c>
      <c r="C238" s="28">
        <f>TEXT([@Period],"mmm")</f>
        <v/>
      </c>
      <c r="D238" s="30">
        <f>MONTH([@Period])</f>
        <v/>
      </c>
      <c r="E238" s="28" t="inlineStr">
        <is>
          <t>Accommodation Camp</t>
        </is>
      </c>
      <c r="F238" s="28" t="inlineStr">
        <is>
          <t>Administration</t>
        </is>
      </c>
      <c r="G238" s="28" t="inlineStr">
        <is>
          <t>Catering Co (Camp)</t>
        </is>
      </c>
      <c r="H238" s="34" t="n">
        <v>6390</v>
      </c>
      <c r="I238" s="35" t="n">
        <v>1</v>
      </c>
      <c r="J238" s="35" t="n">
        <v>1</v>
      </c>
      <c r="K238" s="35" t="n">
        <v>5</v>
      </c>
      <c r="L238" s="35" t="n">
        <v>4</v>
      </c>
      <c r="M238" s="35" t="n">
        <v>2</v>
      </c>
      <c r="N238" s="35" t="n">
        <v>2</v>
      </c>
      <c r="O238" s="36" t="n">
        <v>0.953</v>
      </c>
      <c r="P238" s="35" t="n">
        <v>1</v>
      </c>
      <c r="Q238" s="35" t="n">
        <v>1</v>
      </c>
      <c r="R238" s="35" t="n">
        <v>5</v>
      </c>
      <c r="S238" s="35" t="n">
        <v>5</v>
      </c>
      <c r="T238" s="37" t="n">
        <v>0.9</v>
      </c>
      <c r="U238" s="38">
        <f>IFERROR([@InspDone]/[@InspPlanned],0)</f>
        <v/>
      </c>
      <c r="V238" s="38">
        <f>IFERROR([@ObsClosed]/[@ObsRaised],0)</f>
        <v/>
      </c>
    </row>
    <row r="239">
      <c r="A239" s="33" t="n">
        <v>45809</v>
      </c>
      <c r="B239" s="28">
        <f>YEAR([@Period])</f>
        <v/>
      </c>
      <c r="C239" s="28">
        <f>TEXT([@Period],"mmm")</f>
        <v/>
      </c>
      <c r="D239" s="30">
        <f>MONTH([@Period])</f>
        <v/>
      </c>
      <c r="E239" s="28" t="inlineStr">
        <is>
          <t>Security Gatehouse</t>
        </is>
      </c>
      <c r="F239" s="28" t="inlineStr">
        <is>
          <t>Security</t>
        </is>
      </c>
      <c r="G239" s="28" t="inlineStr">
        <is>
          <t>G4S (Security)</t>
        </is>
      </c>
      <c r="H239" s="34" t="n">
        <v>8325</v>
      </c>
      <c r="I239" s="35" t="n">
        <v>1</v>
      </c>
      <c r="J239" s="35" t="n">
        <v>1</v>
      </c>
      <c r="K239" s="35" t="n">
        <v>5</v>
      </c>
      <c r="L239" s="35" t="n">
        <v>4</v>
      </c>
      <c r="M239" s="35" t="n">
        <v>2</v>
      </c>
      <c r="N239" s="35" t="n">
        <v>2</v>
      </c>
      <c r="O239" s="36" t="n">
        <v>0.977</v>
      </c>
      <c r="P239" s="35" t="n">
        <v>0</v>
      </c>
      <c r="Q239" s="35" t="n">
        <v>5</v>
      </c>
      <c r="R239" s="35" t="n">
        <v>7</v>
      </c>
      <c r="S239" s="35" t="n">
        <v>7</v>
      </c>
      <c r="T239" s="37" t="n">
        <v>0.894</v>
      </c>
      <c r="U239" s="38">
        <f>IFERROR([@InspDone]/[@InspPlanned],0)</f>
        <v/>
      </c>
      <c r="V239" s="38">
        <f>IFERROR([@ObsClosed]/[@ObsRaised],0)</f>
        <v/>
      </c>
    </row>
    <row r="240">
      <c r="A240" s="33" t="n">
        <v>45839</v>
      </c>
      <c r="B240" s="28">
        <f>YEAR([@Period])</f>
        <v/>
      </c>
      <c r="C240" s="28">
        <f>TEXT([@Period],"mmm")</f>
        <v/>
      </c>
      <c r="D240" s="30">
        <f>MONTH([@Period])</f>
        <v/>
      </c>
      <c r="E240" s="28" t="inlineStr">
        <is>
          <t>Nkran Open Pit</t>
        </is>
      </c>
      <c r="F240" s="28" t="inlineStr">
        <is>
          <t>Mining</t>
        </is>
      </c>
      <c r="G240" s="28" t="inlineStr">
        <is>
          <t>AUMS (Mining Contractor)</t>
        </is>
      </c>
      <c r="H240" s="34" t="n">
        <v>22440</v>
      </c>
      <c r="I240" s="35" t="n">
        <v>3</v>
      </c>
      <c r="J240" s="35" t="n">
        <v>5</v>
      </c>
      <c r="K240" s="35" t="n">
        <v>8</v>
      </c>
      <c r="L240" s="35" t="n">
        <v>8</v>
      </c>
      <c r="M240" s="35" t="n">
        <v>6</v>
      </c>
      <c r="N240" s="35" t="n">
        <v>5</v>
      </c>
      <c r="O240" s="36" t="n">
        <v>0.9409999999999999</v>
      </c>
      <c r="P240" s="35" t="n">
        <v>1</v>
      </c>
      <c r="Q240" s="35" t="n">
        <v>9</v>
      </c>
      <c r="R240" s="35" t="n">
        <v>20</v>
      </c>
      <c r="S240" s="35" t="n">
        <v>19</v>
      </c>
      <c r="T240" s="37" t="n">
        <v>0.976</v>
      </c>
      <c r="U240" s="38">
        <f>IFERROR([@InspDone]/[@InspPlanned],0)</f>
        <v/>
      </c>
      <c r="V240" s="38">
        <f>IFERROR([@ObsClosed]/[@ObsRaised],0)</f>
        <v/>
      </c>
    </row>
    <row r="241">
      <c r="A241" s="33" t="n">
        <v>45839</v>
      </c>
      <c r="B241" s="28">
        <f>YEAR([@Period])</f>
        <v/>
      </c>
      <c r="C241" s="28">
        <f>TEXT([@Period],"mmm")</f>
        <v/>
      </c>
      <c r="D241" s="30">
        <f>MONTH([@Period])</f>
        <v/>
      </c>
      <c r="E241" s="28" t="inlineStr">
        <is>
          <t>Esaase Open Pit</t>
        </is>
      </c>
      <c r="F241" s="28" t="inlineStr">
        <is>
          <t>Mining</t>
        </is>
      </c>
      <c r="G241" s="28" t="inlineStr">
        <is>
          <t>AUMS (Mining Contractor)</t>
        </is>
      </c>
      <c r="H241" s="34" t="n">
        <v>24640</v>
      </c>
      <c r="I241" s="35" t="n">
        <v>3</v>
      </c>
      <c r="J241" s="35" t="n">
        <v>3</v>
      </c>
      <c r="K241" s="35" t="n">
        <v>9</v>
      </c>
      <c r="L241" s="35" t="n">
        <v>7</v>
      </c>
      <c r="M241" s="35" t="n">
        <v>6</v>
      </c>
      <c r="N241" s="35" t="n">
        <v>5</v>
      </c>
      <c r="O241" s="36" t="n">
        <v>0.955</v>
      </c>
      <c r="P241" s="35" t="n">
        <v>1</v>
      </c>
      <c r="Q241" s="35" t="n">
        <v>12</v>
      </c>
      <c r="R241" s="35" t="n">
        <v>18</v>
      </c>
      <c r="S241" s="35" t="n">
        <v>18</v>
      </c>
      <c r="T241" s="37" t="n">
        <v>0.884</v>
      </c>
      <c r="U241" s="38">
        <f>IFERROR([@InspDone]/[@InspPlanned],0)</f>
        <v/>
      </c>
      <c r="V241" s="38">
        <f>IFERROR([@ObsClosed]/[@ObsRaised],0)</f>
        <v/>
      </c>
    </row>
    <row r="242">
      <c r="A242" s="33" t="n">
        <v>45839</v>
      </c>
      <c r="B242" s="28">
        <f>YEAR([@Period])</f>
        <v/>
      </c>
      <c r="C242" s="28">
        <f>TEXT([@Period],"mmm")</f>
        <v/>
      </c>
      <c r="D242" s="30">
        <f>MONTH([@Period])</f>
        <v/>
      </c>
      <c r="E242" s="28" t="inlineStr">
        <is>
          <t>Drill &amp; Blast</t>
        </is>
      </c>
      <c r="F242" s="28" t="inlineStr">
        <is>
          <t>Mining</t>
        </is>
      </c>
      <c r="G242" s="28" t="inlineStr">
        <is>
          <t>Maxam (Blasting)</t>
        </is>
      </c>
      <c r="H242" s="34" t="n">
        <v>8120</v>
      </c>
      <c r="I242" s="35" t="n">
        <v>0</v>
      </c>
      <c r="J242" s="35" t="n">
        <v>1</v>
      </c>
      <c r="K242" s="35" t="n">
        <v>4</v>
      </c>
      <c r="L242" s="35" t="n">
        <v>3</v>
      </c>
      <c r="M242" s="35" t="n">
        <v>2</v>
      </c>
      <c r="N242" s="35" t="n">
        <v>2</v>
      </c>
      <c r="O242" s="36" t="n">
        <v>0.9429999999999999</v>
      </c>
      <c r="P242" s="35" t="n">
        <v>0</v>
      </c>
      <c r="Q242" s="35" t="n">
        <v>2</v>
      </c>
      <c r="R242" s="35" t="n">
        <v>6</v>
      </c>
      <c r="S242" s="35" t="n">
        <v>5</v>
      </c>
      <c r="T242" s="37" t="n">
        <v>0.899</v>
      </c>
      <c r="U242" s="38">
        <f>IFERROR([@InspDone]/[@InspPlanned],0)</f>
        <v/>
      </c>
      <c r="V242" s="38">
        <f>IFERROR([@ObsClosed]/[@ObsRaised],0)</f>
        <v/>
      </c>
    </row>
    <row r="243">
      <c r="A243" s="33" t="n">
        <v>45839</v>
      </c>
      <c r="B243" s="28">
        <f>YEAR([@Period])</f>
        <v/>
      </c>
      <c r="C243" s="28">
        <f>TEXT([@Period],"mmm")</f>
        <v/>
      </c>
      <c r="D243" s="30">
        <f>MONTH([@Period])</f>
        <v/>
      </c>
      <c r="E243" s="28" t="inlineStr">
        <is>
          <t>Haul Roads</t>
        </is>
      </c>
      <c r="F243" s="28" t="inlineStr">
        <is>
          <t>Mining</t>
        </is>
      </c>
      <c r="G243" s="28" t="inlineStr">
        <is>
          <t>AUMS (Mining Contractor)</t>
        </is>
      </c>
      <c r="H243" s="34" t="n">
        <v>13740</v>
      </c>
      <c r="I243" s="35" t="n">
        <v>2</v>
      </c>
      <c r="J243" s="35" t="n">
        <v>3</v>
      </c>
      <c r="K243" s="35" t="n">
        <v>5</v>
      </c>
      <c r="L243" s="35" t="n">
        <v>5</v>
      </c>
      <c r="M243" s="35" t="n">
        <v>3</v>
      </c>
      <c r="N243" s="35" t="n">
        <v>3</v>
      </c>
      <c r="O243" s="36" t="n">
        <v>0.898</v>
      </c>
      <c r="P243" s="35" t="n">
        <v>0</v>
      </c>
      <c r="Q243" s="35" t="n">
        <v>7</v>
      </c>
      <c r="R243" s="35" t="n">
        <v>10</v>
      </c>
      <c r="S243" s="35" t="n">
        <v>9</v>
      </c>
      <c r="T243" s="37" t="n">
        <v>0.994</v>
      </c>
      <c r="U243" s="38">
        <f>IFERROR([@InspDone]/[@InspPlanned],0)</f>
        <v/>
      </c>
      <c r="V243" s="38">
        <f>IFERROR([@ObsClosed]/[@ObsRaised],0)</f>
        <v/>
      </c>
    </row>
    <row r="244">
      <c r="A244" s="33" t="n">
        <v>45839</v>
      </c>
      <c r="B244" s="28">
        <f>YEAR([@Period])</f>
        <v/>
      </c>
      <c r="C244" s="28">
        <f>TEXT([@Period],"mmm")</f>
        <v/>
      </c>
      <c r="D244" s="30">
        <f>MONTH([@Period])</f>
        <v/>
      </c>
      <c r="E244" s="28" t="inlineStr">
        <is>
          <t>Explosives Magazine</t>
        </is>
      </c>
      <c r="F244" s="28" t="inlineStr">
        <is>
          <t>Mining</t>
        </is>
      </c>
      <c r="G244" s="28" t="inlineStr">
        <is>
          <t>Maxam (Blasting)</t>
        </is>
      </c>
      <c r="H244" s="34" t="n">
        <v>3405</v>
      </c>
      <c r="I244" s="35" t="n">
        <v>0</v>
      </c>
      <c r="J244" s="35" t="n">
        <v>3</v>
      </c>
      <c r="K244" s="35" t="n">
        <v>4</v>
      </c>
      <c r="L244" s="35" t="n">
        <v>3</v>
      </c>
      <c r="M244" s="35" t="n">
        <v>2</v>
      </c>
      <c r="N244" s="35" t="n">
        <v>2</v>
      </c>
      <c r="O244" s="36" t="n">
        <v>0.945</v>
      </c>
      <c r="P244" s="35" t="n">
        <v>0</v>
      </c>
      <c r="Q244" s="35" t="n">
        <v>1</v>
      </c>
      <c r="R244" s="35" t="n">
        <v>3</v>
      </c>
      <c r="S244" s="35" t="n">
        <v>3</v>
      </c>
      <c r="T244" s="37" t="n">
        <v>0.959</v>
      </c>
      <c r="U244" s="38">
        <f>IFERROR([@InspDone]/[@InspPlanned],0)</f>
        <v/>
      </c>
      <c r="V244" s="38">
        <f>IFERROR([@ObsClosed]/[@ObsRaised],0)</f>
        <v/>
      </c>
    </row>
    <row r="245">
      <c r="A245" s="33" t="n">
        <v>45839</v>
      </c>
      <c r="B245" s="28">
        <f>YEAR([@Period])</f>
        <v/>
      </c>
      <c r="C245" s="28">
        <f>TEXT([@Period],"mmm")</f>
        <v/>
      </c>
      <c r="D245" s="30">
        <f>MONTH([@Period])</f>
        <v/>
      </c>
      <c r="E245" s="28" t="inlineStr">
        <is>
          <t>Crushing Circuit</t>
        </is>
      </c>
      <c r="F245" s="28" t="inlineStr">
        <is>
          <t>Processing</t>
        </is>
      </c>
      <c r="G245" s="28" t="inlineStr">
        <is>
          <t>Owner (Asanko)</t>
        </is>
      </c>
      <c r="H245" s="34" t="n">
        <v>8015</v>
      </c>
      <c r="I245" s="35" t="n">
        <v>4</v>
      </c>
      <c r="J245" s="35" t="n">
        <v>1</v>
      </c>
      <c r="K245" s="35" t="n">
        <v>1</v>
      </c>
      <c r="L245" s="35" t="n">
        <v>1</v>
      </c>
      <c r="M245" s="35" t="n">
        <v>2</v>
      </c>
      <c r="N245" s="35" t="n">
        <v>2</v>
      </c>
      <c r="O245" s="36" t="n">
        <v>0.989</v>
      </c>
      <c r="P245" s="35" t="n">
        <v>1</v>
      </c>
      <c r="Q245" s="35" t="n">
        <v>6</v>
      </c>
      <c r="R245" s="35" t="n">
        <v>5</v>
      </c>
      <c r="S245" s="35" t="n">
        <v>5</v>
      </c>
      <c r="T245" s="37" t="n">
        <v>0.991</v>
      </c>
      <c r="U245" s="38">
        <f>IFERROR([@InspDone]/[@InspPlanned],0)</f>
        <v/>
      </c>
      <c r="V245" s="38">
        <f>IFERROR([@ObsClosed]/[@ObsRaised],0)</f>
        <v/>
      </c>
    </row>
    <row r="246">
      <c r="A246" s="33" t="n">
        <v>45839</v>
      </c>
      <c r="B246" s="28">
        <f>YEAR([@Period])</f>
        <v/>
      </c>
      <c r="C246" s="28">
        <f>TEXT([@Period],"mmm")</f>
        <v/>
      </c>
      <c r="D246" s="30">
        <f>MONTH([@Period])</f>
        <v/>
      </c>
      <c r="E246" s="28" t="inlineStr">
        <is>
          <t>Processing Plant (CIL)</t>
        </is>
      </c>
      <c r="F246" s="28" t="inlineStr">
        <is>
          <t>Processing</t>
        </is>
      </c>
      <c r="G246" s="28" t="inlineStr">
        <is>
          <t>Owner (Asanko)</t>
        </is>
      </c>
      <c r="H246" s="34" t="n">
        <v>17100</v>
      </c>
      <c r="I246" s="35" t="n">
        <v>3</v>
      </c>
      <c r="J246" s="35" t="n">
        <v>5</v>
      </c>
      <c r="K246" s="35" t="n">
        <v>5</v>
      </c>
      <c r="L246" s="35" t="n">
        <v>4</v>
      </c>
      <c r="M246" s="35" t="n">
        <v>5</v>
      </c>
      <c r="N246" s="35" t="n">
        <v>4</v>
      </c>
      <c r="O246" s="36" t="n">
        <v>0.911</v>
      </c>
      <c r="P246" s="35" t="n">
        <v>0</v>
      </c>
      <c r="Q246" s="35" t="n">
        <v>6</v>
      </c>
      <c r="R246" s="35" t="n">
        <v>15</v>
      </c>
      <c r="S246" s="35" t="n">
        <v>14</v>
      </c>
      <c r="T246" s="37" t="n">
        <v>0.948</v>
      </c>
      <c r="U246" s="38">
        <f>IFERROR([@InspDone]/[@InspPlanned],0)</f>
        <v/>
      </c>
      <c r="V246" s="38">
        <f>IFERROR([@ObsClosed]/[@ObsRaised],0)</f>
        <v/>
      </c>
    </row>
    <row r="247">
      <c r="A247" s="33" t="n">
        <v>45839</v>
      </c>
      <c r="B247" s="28">
        <f>YEAR([@Period])</f>
        <v/>
      </c>
      <c r="C247" s="28">
        <f>TEXT([@Period],"mmm")</f>
        <v/>
      </c>
      <c r="D247" s="30">
        <f>MONTH([@Period])</f>
        <v/>
      </c>
      <c r="E247" s="28" t="inlineStr">
        <is>
          <t>Elution &amp; Gold Room</t>
        </is>
      </c>
      <c r="F247" s="28" t="inlineStr">
        <is>
          <t>Processing</t>
        </is>
      </c>
      <c r="G247" s="28" t="inlineStr">
        <is>
          <t>Owner (Asanko)</t>
        </is>
      </c>
      <c r="H247" s="34" t="n">
        <v>3820</v>
      </c>
      <c r="I247" s="35" t="n">
        <v>2</v>
      </c>
      <c r="J247" s="35" t="n">
        <v>0</v>
      </c>
      <c r="K247" s="35" t="n">
        <v>1</v>
      </c>
      <c r="L247" s="35" t="n">
        <v>1</v>
      </c>
      <c r="M247" s="35" t="n">
        <v>2</v>
      </c>
      <c r="N247" s="35" t="n">
        <v>2</v>
      </c>
      <c r="O247" s="36" t="n">
        <v>0.906</v>
      </c>
      <c r="P247" s="35" t="n">
        <v>1</v>
      </c>
      <c r="Q247" s="35" t="n">
        <v>1</v>
      </c>
      <c r="R247" s="35" t="n">
        <v>3</v>
      </c>
      <c r="S247" s="35" t="n">
        <v>3</v>
      </c>
      <c r="T247" s="37" t="n">
        <v>0.886</v>
      </c>
      <c r="U247" s="38">
        <f>IFERROR([@InspDone]/[@InspPlanned],0)</f>
        <v/>
      </c>
      <c r="V247" s="38">
        <f>IFERROR([@ObsClosed]/[@ObsRaised],0)</f>
        <v/>
      </c>
    </row>
    <row r="248">
      <c r="A248" s="33" t="n">
        <v>45839</v>
      </c>
      <c r="B248" s="28">
        <f>YEAR([@Period])</f>
        <v/>
      </c>
      <c r="C248" s="28">
        <f>TEXT([@Period],"mmm")</f>
        <v/>
      </c>
      <c r="D248" s="30">
        <f>MONTH([@Period])</f>
        <v/>
      </c>
      <c r="E248" s="28" t="inlineStr">
        <is>
          <t>Tailings Storage Facility</t>
        </is>
      </c>
      <c r="F248" s="28" t="inlineStr">
        <is>
          <t>Environment</t>
        </is>
      </c>
      <c r="G248" s="28" t="inlineStr">
        <is>
          <t>Owner (Asanko)</t>
        </is>
      </c>
      <c r="H248" s="34" t="n">
        <v>3618</v>
      </c>
      <c r="I248" s="35" t="n">
        <v>0</v>
      </c>
      <c r="J248" s="35" t="n">
        <v>2</v>
      </c>
      <c r="K248" s="35" t="n">
        <v>1</v>
      </c>
      <c r="L248" s="35" t="n">
        <v>1</v>
      </c>
      <c r="M248" s="35" t="n">
        <v>2</v>
      </c>
      <c r="N248" s="35" t="n">
        <v>2</v>
      </c>
      <c r="O248" s="36" t="n">
        <v>0.884</v>
      </c>
      <c r="P248" s="35" t="n">
        <v>0</v>
      </c>
      <c r="Q248" s="35" t="n">
        <v>1</v>
      </c>
      <c r="R248" s="35" t="n">
        <v>3</v>
      </c>
      <c r="S248" s="35" t="n">
        <v>3</v>
      </c>
      <c r="T248" s="37" t="n">
        <v>0.976</v>
      </c>
      <c r="U248" s="38">
        <f>IFERROR([@InspDone]/[@InspPlanned],0)</f>
        <v/>
      </c>
      <c r="V248" s="38">
        <f>IFERROR([@ObsClosed]/[@ObsRaised],0)</f>
        <v/>
      </c>
    </row>
    <row r="249">
      <c r="A249" s="33" t="n">
        <v>45839</v>
      </c>
      <c r="B249" s="28">
        <f>YEAR([@Period])</f>
        <v/>
      </c>
      <c r="C249" s="28">
        <f>TEXT([@Period],"mmm")</f>
        <v/>
      </c>
      <c r="D249" s="30">
        <f>MONTH([@Period])</f>
        <v/>
      </c>
      <c r="E249" s="28" t="inlineStr">
        <is>
          <t>Water Treatment</t>
        </is>
      </c>
      <c r="F249" s="28" t="inlineStr">
        <is>
          <t>Environment</t>
        </is>
      </c>
      <c r="G249" s="28" t="inlineStr">
        <is>
          <t>Owner (Asanko)</t>
        </is>
      </c>
      <c r="H249" s="34" t="n">
        <v>2472</v>
      </c>
      <c r="I249" s="35" t="n">
        <v>0</v>
      </c>
      <c r="J249" s="35" t="n">
        <v>0</v>
      </c>
      <c r="K249" s="35" t="n">
        <v>1</v>
      </c>
      <c r="L249" s="35" t="n">
        <v>1</v>
      </c>
      <c r="M249" s="35" t="n">
        <v>2</v>
      </c>
      <c r="N249" s="35" t="n">
        <v>2</v>
      </c>
      <c r="O249" s="36" t="n">
        <v>0.95</v>
      </c>
      <c r="P249" s="35" t="n">
        <v>0</v>
      </c>
      <c r="Q249" s="35" t="n">
        <v>2</v>
      </c>
      <c r="R249" s="35" t="n">
        <v>3</v>
      </c>
      <c r="S249" s="35" t="n">
        <v>3</v>
      </c>
      <c r="T249" s="37" t="n">
        <v>0.957</v>
      </c>
      <c r="U249" s="38">
        <f>IFERROR([@InspDone]/[@InspPlanned],0)</f>
        <v/>
      </c>
      <c r="V249" s="38">
        <f>IFERROR([@ObsClosed]/[@ObsRaised],0)</f>
        <v/>
      </c>
    </row>
    <row r="250">
      <c r="A250" s="33" t="n">
        <v>45839</v>
      </c>
      <c r="B250" s="28">
        <f>YEAR([@Period])</f>
        <v/>
      </c>
      <c r="C250" s="28">
        <f>TEXT([@Period],"mmm")</f>
        <v/>
      </c>
      <c r="D250" s="30">
        <f>MONTH([@Period])</f>
        <v/>
      </c>
      <c r="E250" s="28" t="inlineStr">
        <is>
          <t>Assay Laboratory</t>
        </is>
      </c>
      <c r="F250" s="28" t="inlineStr">
        <is>
          <t>Laboratory</t>
        </is>
      </c>
      <c r="G250" s="28" t="inlineStr">
        <is>
          <t>SGS (Laboratory)</t>
        </is>
      </c>
      <c r="H250" s="34" t="n">
        <v>4975</v>
      </c>
      <c r="I250" s="35" t="n">
        <v>1</v>
      </c>
      <c r="J250" s="35" t="n">
        <v>2</v>
      </c>
      <c r="K250" s="35" t="n">
        <v>2</v>
      </c>
      <c r="L250" s="35" t="n">
        <v>2</v>
      </c>
      <c r="M250" s="35" t="n">
        <v>2</v>
      </c>
      <c r="N250" s="35" t="n">
        <v>2</v>
      </c>
      <c r="O250" s="36" t="n">
        <v>0.89</v>
      </c>
      <c r="P250" s="35" t="n">
        <v>0</v>
      </c>
      <c r="Q250" s="35" t="n">
        <v>3</v>
      </c>
      <c r="R250" s="35" t="n">
        <v>4</v>
      </c>
      <c r="S250" s="35" t="n">
        <v>4</v>
      </c>
      <c r="T250" s="37" t="n">
        <v>0.926</v>
      </c>
      <c r="U250" s="38">
        <f>IFERROR([@InspDone]/[@InspPlanned],0)</f>
        <v/>
      </c>
      <c r="V250" s="38">
        <f>IFERROR([@ObsClosed]/[@ObsRaised],0)</f>
        <v/>
      </c>
    </row>
    <row r="251">
      <c r="A251" s="33" t="n">
        <v>45839</v>
      </c>
      <c r="B251" s="28">
        <f>YEAR([@Period])</f>
        <v/>
      </c>
      <c r="C251" s="28">
        <f>TEXT([@Period],"mmm")</f>
        <v/>
      </c>
      <c r="D251" s="30">
        <f>MONTH([@Period])</f>
        <v/>
      </c>
      <c r="E251" s="28" t="inlineStr">
        <is>
          <t>HME Workshop</t>
        </is>
      </c>
      <c r="F251" s="28" t="inlineStr">
        <is>
          <t>Engineering</t>
        </is>
      </c>
      <c r="G251" s="28" t="inlineStr">
        <is>
          <t>Owner (Asanko)</t>
        </is>
      </c>
      <c r="H251" s="34" t="n">
        <v>11715</v>
      </c>
      <c r="I251" s="35" t="n">
        <v>1</v>
      </c>
      <c r="J251" s="35" t="n">
        <v>0</v>
      </c>
      <c r="K251" s="35" t="n">
        <v>3</v>
      </c>
      <c r="L251" s="35" t="n">
        <v>2</v>
      </c>
      <c r="M251" s="35" t="n">
        <v>3</v>
      </c>
      <c r="N251" s="35" t="n">
        <v>3</v>
      </c>
      <c r="O251" s="36" t="n">
        <v>0.881</v>
      </c>
      <c r="P251" s="35" t="n">
        <v>0</v>
      </c>
      <c r="Q251" s="35" t="n">
        <v>5</v>
      </c>
      <c r="R251" s="35" t="n">
        <v>9</v>
      </c>
      <c r="S251" s="35" t="n">
        <v>8</v>
      </c>
      <c r="T251" s="37" t="n">
        <v>0.91</v>
      </c>
      <c r="U251" s="38">
        <f>IFERROR([@InspDone]/[@InspPlanned],0)</f>
        <v/>
      </c>
      <c r="V251" s="38">
        <f>IFERROR([@ObsClosed]/[@ObsRaised],0)</f>
        <v/>
      </c>
    </row>
    <row r="252">
      <c r="A252" s="33" t="n">
        <v>45839</v>
      </c>
      <c r="B252" s="28">
        <f>YEAR([@Period])</f>
        <v/>
      </c>
      <c r="C252" s="28">
        <f>TEXT([@Period],"mmm")</f>
        <v/>
      </c>
      <c r="D252" s="30">
        <f>MONTH([@Period])</f>
        <v/>
      </c>
      <c r="E252" s="28" t="inlineStr">
        <is>
          <t>Fuel Farm</t>
        </is>
      </c>
      <c r="F252" s="28" t="inlineStr">
        <is>
          <t>Engineering</t>
        </is>
      </c>
      <c r="G252" s="28" t="inlineStr">
        <is>
          <t>Owner (Asanko)</t>
        </is>
      </c>
      <c r="H252" s="34" t="n">
        <v>1930</v>
      </c>
      <c r="I252" s="35" t="n">
        <v>0</v>
      </c>
      <c r="J252" s="35" t="n">
        <v>0</v>
      </c>
      <c r="K252" s="35" t="n">
        <v>1</v>
      </c>
      <c r="L252" s="35" t="n">
        <v>1</v>
      </c>
      <c r="M252" s="35" t="n">
        <v>2</v>
      </c>
      <c r="N252" s="35" t="n">
        <v>2</v>
      </c>
      <c r="O252" s="36" t="n">
        <v>0.954</v>
      </c>
      <c r="P252" s="35" t="n">
        <v>1</v>
      </c>
      <c r="Q252" s="35" t="n">
        <v>3</v>
      </c>
      <c r="R252" s="35" t="n">
        <v>3</v>
      </c>
      <c r="S252" s="35" t="n">
        <v>3</v>
      </c>
      <c r="T252" s="37" t="n">
        <v>0.968</v>
      </c>
      <c r="U252" s="38">
        <f>IFERROR([@InspDone]/[@InspPlanned],0)</f>
        <v/>
      </c>
      <c r="V252" s="38">
        <f>IFERROR([@ObsClosed]/[@ObsRaised],0)</f>
        <v/>
      </c>
    </row>
    <row r="253">
      <c r="A253" s="33" t="n">
        <v>45839</v>
      </c>
      <c r="B253" s="28">
        <f>YEAR([@Period])</f>
        <v/>
      </c>
      <c r="C253" s="28">
        <f>TEXT([@Period],"mmm")</f>
        <v/>
      </c>
      <c r="D253" s="30">
        <f>MONTH([@Period])</f>
        <v/>
      </c>
      <c r="E253" s="28" t="inlineStr">
        <is>
          <t>Power Station</t>
        </is>
      </c>
      <c r="F253" s="28" t="inlineStr">
        <is>
          <t>Engineering</t>
        </is>
      </c>
      <c r="G253" s="28" t="inlineStr">
        <is>
          <t>Genser (Power)</t>
        </is>
      </c>
      <c r="H253" s="34" t="n">
        <v>4796</v>
      </c>
      <c r="I253" s="35" t="n">
        <v>1</v>
      </c>
      <c r="J253" s="35" t="n">
        <v>0</v>
      </c>
      <c r="K253" s="35" t="n">
        <v>1</v>
      </c>
      <c r="L253" s="35" t="n">
        <v>1</v>
      </c>
      <c r="M253" s="35" t="n">
        <v>2</v>
      </c>
      <c r="N253" s="35" t="n">
        <v>2</v>
      </c>
      <c r="O253" s="36" t="n">
        <v>0.88</v>
      </c>
      <c r="P253" s="35" t="n">
        <v>1</v>
      </c>
      <c r="Q253" s="35" t="n">
        <v>4</v>
      </c>
      <c r="R253" s="35" t="n">
        <v>3</v>
      </c>
      <c r="S253" s="35" t="n">
        <v>3</v>
      </c>
      <c r="T253" s="37" t="n">
        <v>0.958</v>
      </c>
      <c r="U253" s="38">
        <f>IFERROR([@InspDone]/[@InspPlanned],0)</f>
        <v/>
      </c>
      <c r="V253" s="38">
        <f>IFERROR([@ObsClosed]/[@ObsRaised],0)</f>
        <v/>
      </c>
    </row>
    <row r="254">
      <c r="A254" s="33" t="n">
        <v>45839</v>
      </c>
      <c r="B254" s="28">
        <f>YEAR([@Period])</f>
        <v/>
      </c>
      <c r="C254" s="28">
        <f>TEXT([@Period],"mmm")</f>
        <v/>
      </c>
      <c r="D254" s="30">
        <f>MONTH([@Period])</f>
        <v/>
      </c>
      <c r="E254" s="28" t="inlineStr">
        <is>
          <t>Warehouse &amp; Stores</t>
        </is>
      </c>
      <c r="F254" s="28" t="inlineStr">
        <is>
          <t>Logistics</t>
        </is>
      </c>
      <c r="G254" s="28" t="inlineStr">
        <is>
          <t>Owner (Asanko)</t>
        </is>
      </c>
      <c r="H254" s="34" t="n">
        <v>5064</v>
      </c>
      <c r="I254" s="35" t="n">
        <v>1</v>
      </c>
      <c r="J254" s="35" t="n">
        <v>2</v>
      </c>
      <c r="K254" s="35" t="n">
        <v>2</v>
      </c>
      <c r="L254" s="35" t="n">
        <v>2</v>
      </c>
      <c r="M254" s="35" t="n">
        <v>2</v>
      </c>
      <c r="N254" s="35" t="n">
        <v>2</v>
      </c>
      <c r="O254" s="36" t="n">
        <v>0.921</v>
      </c>
      <c r="P254" s="35" t="n">
        <v>1</v>
      </c>
      <c r="Q254" s="35" t="n">
        <v>2</v>
      </c>
      <c r="R254" s="35" t="n">
        <v>4</v>
      </c>
      <c r="S254" s="35" t="n">
        <v>4</v>
      </c>
      <c r="T254" s="37" t="n">
        <v>0.977</v>
      </c>
      <c r="U254" s="38">
        <f>IFERROR([@InspDone]/[@InspPlanned],0)</f>
        <v/>
      </c>
      <c r="V254" s="38">
        <f>IFERROR([@ObsClosed]/[@ObsRaised],0)</f>
        <v/>
      </c>
    </row>
    <row r="255">
      <c r="A255" s="33" t="n">
        <v>45839</v>
      </c>
      <c r="B255" s="28">
        <f>YEAR([@Period])</f>
        <v/>
      </c>
      <c r="C255" s="28">
        <f>TEXT([@Period],"mmm")</f>
        <v/>
      </c>
      <c r="D255" s="30">
        <f>MONTH([@Period])</f>
        <v/>
      </c>
      <c r="E255" s="28" t="inlineStr">
        <is>
          <t>Administration</t>
        </is>
      </c>
      <c r="F255" s="28" t="inlineStr">
        <is>
          <t>Administration</t>
        </is>
      </c>
      <c r="G255" s="28" t="inlineStr">
        <is>
          <t>Owner (Asanko)</t>
        </is>
      </c>
      <c r="H255" s="34" t="n">
        <v>12600</v>
      </c>
      <c r="I255" s="35" t="n">
        <v>3</v>
      </c>
      <c r="J255" s="35" t="n">
        <v>3</v>
      </c>
      <c r="K255" s="35" t="n">
        <v>2</v>
      </c>
      <c r="L255" s="35" t="n">
        <v>2</v>
      </c>
      <c r="M255" s="35" t="n">
        <v>3</v>
      </c>
      <c r="N255" s="35" t="n">
        <v>3</v>
      </c>
      <c r="O255" s="36" t="n">
        <v>0.897</v>
      </c>
      <c r="P255" s="35" t="n">
        <v>1</v>
      </c>
      <c r="Q255" s="35" t="n">
        <v>6</v>
      </c>
      <c r="R255" s="35" t="n">
        <v>10</v>
      </c>
      <c r="S255" s="35" t="n">
        <v>10</v>
      </c>
      <c r="T255" s="37" t="n">
        <v>0.927</v>
      </c>
      <c r="U255" s="38">
        <f>IFERROR([@InspDone]/[@InspPlanned],0)</f>
        <v/>
      </c>
      <c r="V255" s="38">
        <f>IFERROR([@ObsClosed]/[@ObsRaised],0)</f>
        <v/>
      </c>
    </row>
    <row r="256">
      <c r="A256" s="33" t="n">
        <v>45839</v>
      </c>
      <c r="B256" s="28">
        <f>YEAR([@Period])</f>
        <v/>
      </c>
      <c r="C256" s="28">
        <f>TEXT([@Period],"mmm")</f>
        <v/>
      </c>
      <c r="D256" s="30">
        <f>MONTH([@Period])</f>
        <v/>
      </c>
      <c r="E256" s="28" t="inlineStr">
        <is>
          <t>Accommodation Camp</t>
        </is>
      </c>
      <c r="F256" s="28" t="inlineStr">
        <is>
          <t>Administration</t>
        </is>
      </c>
      <c r="G256" s="28" t="inlineStr">
        <is>
          <t>Catering Co (Camp)</t>
        </is>
      </c>
      <c r="H256" s="34" t="n">
        <v>5490</v>
      </c>
      <c r="I256" s="35" t="n">
        <v>0</v>
      </c>
      <c r="J256" s="35" t="n">
        <v>1</v>
      </c>
      <c r="K256" s="35" t="n">
        <v>3</v>
      </c>
      <c r="L256" s="35" t="n">
        <v>2</v>
      </c>
      <c r="M256" s="35" t="n">
        <v>2</v>
      </c>
      <c r="N256" s="35" t="n">
        <v>2</v>
      </c>
      <c r="O256" s="36" t="n">
        <v>0.96</v>
      </c>
      <c r="P256" s="35" t="n">
        <v>0</v>
      </c>
      <c r="Q256" s="35" t="n">
        <v>2</v>
      </c>
      <c r="R256" s="35" t="n">
        <v>5</v>
      </c>
      <c r="S256" s="35" t="n">
        <v>5</v>
      </c>
      <c r="T256" s="37" t="n">
        <v>0.948</v>
      </c>
      <c r="U256" s="38">
        <f>IFERROR([@InspDone]/[@InspPlanned],0)</f>
        <v/>
      </c>
      <c r="V256" s="38">
        <f>IFERROR([@ObsClosed]/[@ObsRaised],0)</f>
        <v/>
      </c>
    </row>
    <row r="257">
      <c r="A257" s="33" t="n">
        <v>45839</v>
      </c>
      <c r="B257" s="28">
        <f>YEAR([@Period])</f>
        <v/>
      </c>
      <c r="C257" s="28">
        <f>TEXT([@Period],"mmm")</f>
        <v/>
      </c>
      <c r="D257" s="30">
        <f>MONTH([@Period])</f>
        <v/>
      </c>
      <c r="E257" s="28" t="inlineStr">
        <is>
          <t>Security Gatehouse</t>
        </is>
      </c>
      <c r="F257" s="28" t="inlineStr">
        <is>
          <t>Security</t>
        </is>
      </c>
      <c r="G257" s="28" t="inlineStr">
        <is>
          <t>G4S (Security)</t>
        </is>
      </c>
      <c r="H257" s="34" t="n">
        <v>8190</v>
      </c>
      <c r="I257" s="35" t="n">
        <v>1</v>
      </c>
      <c r="J257" s="35" t="n">
        <v>1</v>
      </c>
      <c r="K257" s="35" t="n">
        <v>5</v>
      </c>
      <c r="L257" s="35" t="n">
        <v>4</v>
      </c>
      <c r="M257" s="35" t="n">
        <v>2</v>
      </c>
      <c r="N257" s="35" t="n">
        <v>2</v>
      </c>
      <c r="O257" s="36" t="n">
        <v>0.928</v>
      </c>
      <c r="P257" s="35" t="n">
        <v>0</v>
      </c>
      <c r="Q257" s="35" t="n">
        <v>5</v>
      </c>
      <c r="R257" s="35" t="n">
        <v>7</v>
      </c>
      <c r="S257" s="35" t="n">
        <v>7</v>
      </c>
      <c r="T257" s="37" t="n">
        <v>0.9</v>
      </c>
      <c r="U257" s="38">
        <f>IFERROR([@InspDone]/[@InspPlanned],0)</f>
        <v/>
      </c>
      <c r="V257" s="38">
        <f>IFERROR([@ObsClosed]/[@ObsRaised],0)</f>
        <v/>
      </c>
    </row>
    <row r="258">
      <c r="A258" s="33" t="n">
        <v>45870</v>
      </c>
      <c r="B258" s="28">
        <f>YEAR([@Period])</f>
        <v/>
      </c>
      <c r="C258" s="28">
        <f>TEXT([@Period],"mmm")</f>
        <v/>
      </c>
      <c r="D258" s="30">
        <f>MONTH([@Period])</f>
        <v/>
      </c>
      <c r="E258" s="28" t="inlineStr">
        <is>
          <t>Nkran Open Pit</t>
        </is>
      </c>
      <c r="F258" s="28" t="inlineStr">
        <is>
          <t>Mining</t>
        </is>
      </c>
      <c r="G258" s="28" t="inlineStr">
        <is>
          <t>AUMS (Mining Contractor)</t>
        </is>
      </c>
      <c r="H258" s="34" t="n">
        <v>24600</v>
      </c>
      <c r="I258" s="35" t="n">
        <v>10</v>
      </c>
      <c r="J258" s="35" t="n">
        <v>2</v>
      </c>
      <c r="K258" s="35" t="n">
        <v>14</v>
      </c>
      <c r="L258" s="35" t="n">
        <v>11</v>
      </c>
      <c r="M258" s="35" t="n">
        <v>6</v>
      </c>
      <c r="N258" s="35" t="n">
        <v>6</v>
      </c>
      <c r="O258" s="36" t="n">
        <v>0.9320000000000001</v>
      </c>
      <c r="P258" s="35" t="n">
        <v>0</v>
      </c>
      <c r="Q258" s="35" t="n">
        <v>16</v>
      </c>
      <c r="R258" s="35" t="n">
        <v>20</v>
      </c>
      <c r="S258" s="35" t="n">
        <v>20</v>
      </c>
      <c r="T258" s="37" t="n">
        <v>0.884</v>
      </c>
      <c r="U258" s="38">
        <f>IFERROR([@InspDone]/[@InspPlanned],0)</f>
        <v/>
      </c>
      <c r="V258" s="38">
        <f>IFERROR([@ObsClosed]/[@ObsRaised],0)</f>
        <v/>
      </c>
    </row>
    <row r="259">
      <c r="A259" s="33" t="n">
        <v>45870</v>
      </c>
      <c r="B259" s="28">
        <f>YEAR([@Period])</f>
        <v/>
      </c>
      <c r="C259" s="28">
        <f>TEXT([@Period],"mmm")</f>
        <v/>
      </c>
      <c r="D259" s="30">
        <f>MONTH([@Period])</f>
        <v/>
      </c>
      <c r="E259" s="28" t="inlineStr">
        <is>
          <t>Esaase Open Pit</t>
        </is>
      </c>
      <c r="F259" s="28" t="inlineStr">
        <is>
          <t>Mining</t>
        </is>
      </c>
      <c r="G259" s="28" t="inlineStr">
        <is>
          <t>AUMS (Mining Contractor)</t>
        </is>
      </c>
      <c r="H259" s="34" t="n">
        <v>20680</v>
      </c>
      <c r="I259" s="35" t="n">
        <v>3</v>
      </c>
      <c r="J259" s="35" t="n">
        <v>2</v>
      </c>
      <c r="K259" s="35" t="n">
        <v>8</v>
      </c>
      <c r="L259" s="35" t="n">
        <v>7</v>
      </c>
      <c r="M259" s="35" t="n">
        <v>6</v>
      </c>
      <c r="N259" s="35" t="n">
        <v>6</v>
      </c>
      <c r="O259" s="36" t="n">
        <v>0.918</v>
      </c>
      <c r="P259" s="35" t="n">
        <v>0</v>
      </c>
      <c r="Q259" s="35" t="n">
        <v>12</v>
      </c>
      <c r="R259" s="35" t="n">
        <v>18</v>
      </c>
      <c r="S259" s="35" t="n">
        <v>18</v>
      </c>
      <c r="T259" s="37" t="n">
        <v>0.905</v>
      </c>
      <c r="U259" s="38">
        <f>IFERROR([@InspDone]/[@InspPlanned],0)</f>
        <v/>
      </c>
      <c r="V259" s="38">
        <f>IFERROR([@ObsClosed]/[@ObsRaised],0)</f>
        <v/>
      </c>
    </row>
    <row r="260">
      <c r="A260" s="33" t="n">
        <v>45870</v>
      </c>
      <c r="B260" s="28">
        <f>YEAR([@Period])</f>
        <v/>
      </c>
      <c r="C260" s="28">
        <f>TEXT([@Period],"mmm")</f>
        <v/>
      </c>
      <c r="D260" s="30">
        <f>MONTH([@Period])</f>
        <v/>
      </c>
      <c r="E260" s="28" t="inlineStr">
        <is>
          <t>Drill &amp; Blast</t>
        </is>
      </c>
      <c r="F260" s="28" t="inlineStr">
        <is>
          <t>Mining</t>
        </is>
      </c>
      <c r="G260" s="28" t="inlineStr">
        <is>
          <t>Maxam (Blasting)</t>
        </is>
      </c>
      <c r="H260" s="34" t="n">
        <v>9040</v>
      </c>
      <c r="I260" s="35" t="n">
        <v>1</v>
      </c>
      <c r="J260" s="35" t="n">
        <v>1</v>
      </c>
      <c r="K260" s="35" t="n">
        <v>4</v>
      </c>
      <c r="L260" s="35" t="n">
        <v>4</v>
      </c>
      <c r="M260" s="35" t="n">
        <v>2</v>
      </c>
      <c r="N260" s="35" t="n">
        <v>2</v>
      </c>
      <c r="O260" s="36" t="n">
        <v>0.898</v>
      </c>
      <c r="P260" s="35" t="n">
        <v>0</v>
      </c>
      <c r="Q260" s="35" t="n">
        <v>6</v>
      </c>
      <c r="R260" s="35" t="n">
        <v>6</v>
      </c>
      <c r="S260" s="35" t="n">
        <v>6</v>
      </c>
      <c r="T260" s="37" t="n">
        <v>0.984</v>
      </c>
      <c r="U260" s="38">
        <f>IFERROR([@InspDone]/[@InspPlanned],0)</f>
        <v/>
      </c>
      <c r="V260" s="38">
        <f>IFERROR([@ObsClosed]/[@ObsRaised],0)</f>
        <v/>
      </c>
    </row>
    <row r="261">
      <c r="A261" s="33" t="n">
        <v>45870</v>
      </c>
      <c r="B261" s="28">
        <f>YEAR([@Period])</f>
        <v/>
      </c>
      <c r="C261" s="28">
        <f>TEXT([@Period],"mmm")</f>
        <v/>
      </c>
      <c r="D261" s="30">
        <f>MONTH([@Period])</f>
        <v/>
      </c>
      <c r="E261" s="28" t="inlineStr">
        <is>
          <t>Haul Roads</t>
        </is>
      </c>
      <c r="F261" s="28" t="inlineStr">
        <is>
          <t>Mining</t>
        </is>
      </c>
      <c r="G261" s="28" t="inlineStr">
        <is>
          <t>AUMS (Mining Contractor)</t>
        </is>
      </c>
      <c r="H261" s="34" t="n">
        <v>11580</v>
      </c>
      <c r="I261" s="35" t="n">
        <v>3</v>
      </c>
      <c r="J261" s="35" t="n">
        <v>1</v>
      </c>
      <c r="K261" s="35" t="n">
        <v>7</v>
      </c>
      <c r="L261" s="35" t="n">
        <v>5</v>
      </c>
      <c r="M261" s="35" t="n">
        <v>3</v>
      </c>
      <c r="N261" s="35" t="n">
        <v>3</v>
      </c>
      <c r="O261" s="36" t="n">
        <v>0.98</v>
      </c>
      <c r="P261" s="35" t="n">
        <v>0</v>
      </c>
      <c r="Q261" s="35" t="n">
        <v>13</v>
      </c>
      <c r="R261" s="35" t="n">
        <v>10</v>
      </c>
      <c r="S261" s="35" t="n">
        <v>9</v>
      </c>
      <c r="T261" s="37" t="n">
        <v>0.919</v>
      </c>
      <c r="U261" s="38">
        <f>IFERROR([@InspDone]/[@InspPlanned],0)</f>
        <v/>
      </c>
      <c r="V261" s="38">
        <f>IFERROR([@ObsClosed]/[@ObsRaised],0)</f>
        <v/>
      </c>
    </row>
    <row r="262">
      <c r="A262" s="33" t="n">
        <v>45870</v>
      </c>
      <c r="B262" s="28">
        <f>YEAR([@Period])</f>
        <v/>
      </c>
      <c r="C262" s="28">
        <f>TEXT([@Period],"mmm")</f>
        <v/>
      </c>
      <c r="D262" s="30">
        <f>MONTH([@Period])</f>
        <v/>
      </c>
      <c r="E262" s="28" t="inlineStr">
        <is>
          <t>Explosives Magazine</t>
        </is>
      </c>
      <c r="F262" s="28" t="inlineStr">
        <is>
          <t>Mining</t>
        </is>
      </c>
      <c r="G262" s="28" t="inlineStr">
        <is>
          <t>Maxam (Blasting)</t>
        </is>
      </c>
      <c r="H262" s="34" t="n">
        <v>3015</v>
      </c>
      <c r="I262" s="35" t="n">
        <v>1</v>
      </c>
      <c r="J262" s="35" t="n">
        <v>0</v>
      </c>
      <c r="K262" s="35" t="n">
        <v>2</v>
      </c>
      <c r="L262" s="35" t="n">
        <v>2</v>
      </c>
      <c r="M262" s="35" t="n">
        <v>2</v>
      </c>
      <c r="N262" s="35" t="n">
        <v>2</v>
      </c>
      <c r="O262" s="36" t="n">
        <v>0.93</v>
      </c>
      <c r="P262" s="35" t="n">
        <v>1</v>
      </c>
      <c r="Q262" s="35" t="n">
        <v>1</v>
      </c>
      <c r="R262" s="35" t="n">
        <v>3</v>
      </c>
      <c r="S262" s="35" t="n">
        <v>3</v>
      </c>
      <c r="T262" s="37" t="n">
        <v>0.986</v>
      </c>
      <c r="U262" s="38">
        <f>IFERROR([@InspDone]/[@InspPlanned],0)</f>
        <v/>
      </c>
      <c r="V262" s="38">
        <f>IFERROR([@ObsClosed]/[@ObsRaised],0)</f>
        <v/>
      </c>
    </row>
    <row r="263">
      <c r="A263" s="33" t="n">
        <v>45870</v>
      </c>
      <c r="B263" s="28">
        <f>YEAR([@Period])</f>
        <v/>
      </c>
      <c r="C263" s="28">
        <f>TEXT([@Period],"mmm")</f>
        <v/>
      </c>
      <c r="D263" s="30">
        <f>MONTH([@Period])</f>
        <v/>
      </c>
      <c r="E263" s="28" t="inlineStr">
        <is>
          <t>Crushing Circuit</t>
        </is>
      </c>
      <c r="F263" s="28" t="inlineStr">
        <is>
          <t>Processing</t>
        </is>
      </c>
      <c r="G263" s="28" t="inlineStr">
        <is>
          <t>Owner (Asanko)</t>
        </is>
      </c>
      <c r="H263" s="34" t="n">
        <v>6755</v>
      </c>
      <c r="I263" s="35" t="n">
        <v>2</v>
      </c>
      <c r="J263" s="35" t="n">
        <v>0</v>
      </c>
      <c r="K263" s="35" t="n">
        <v>3</v>
      </c>
      <c r="L263" s="35" t="n">
        <v>3</v>
      </c>
      <c r="M263" s="35" t="n">
        <v>2</v>
      </c>
      <c r="N263" s="35" t="n">
        <v>2</v>
      </c>
      <c r="O263" s="36" t="n">
        <v>0.956</v>
      </c>
      <c r="P263" s="35" t="n">
        <v>0</v>
      </c>
      <c r="Q263" s="35" t="n">
        <v>4</v>
      </c>
      <c r="R263" s="35" t="n">
        <v>5</v>
      </c>
      <c r="S263" s="35" t="n">
        <v>5</v>
      </c>
      <c r="T263" s="37" t="n">
        <v>0.904</v>
      </c>
      <c r="U263" s="38">
        <f>IFERROR([@InspDone]/[@InspPlanned],0)</f>
        <v/>
      </c>
      <c r="V263" s="38">
        <f>IFERROR([@ObsClosed]/[@ObsRaised],0)</f>
        <v/>
      </c>
    </row>
    <row r="264">
      <c r="A264" s="33" t="n">
        <v>45870</v>
      </c>
      <c r="B264" s="28">
        <f>YEAR([@Period])</f>
        <v/>
      </c>
      <c r="C264" s="28">
        <f>TEXT([@Period],"mmm")</f>
        <v/>
      </c>
      <c r="D264" s="30">
        <f>MONTH([@Period])</f>
        <v/>
      </c>
      <c r="E264" s="28" t="inlineStr">
        <is>
          <t>Processing Plant (CIL)</t>
        </is>
      </c>
      <c r="F264" s="28" t="inlineStr">
        <is>
          <t>Processing</t>
        </is>
      </c>
      <c r="G264" s="28" t="inlineStr">
        <is>
          <t>Owner (Asanko)</t>
        </is>
      </c>
      <c r="H264" s="34" t="n">
        <v>18000</v>
      </c>
      <c r="I264" s="35" t="n">
        <v>3</v>
      </c>
      <c r="J264" s="35" t="n">
        <v>4</v>
      </c>
      <c r="K264" s="35" t="n">
        <v>2</v>
      </c>
      <c r="L264" s="35" t="n">
        <v>2</v>
      </c>
      <c r="M264" s="35" t="n">
        <v>5</v>
      </c>
      <c r="N264" s="35" t="n">
        <v>4</v>
      </c>
      <c r="O264" s="36" t="n">
        <v>0.963</v>
      </c>
      <c r="P264" s="35" t="n">
        <v>0</v>
      </c>
      <c r="Q264" s="35" t="n">
        <v>8</v>
      </c>
      <c r="R264" s="35" t="n">
        <v>15</v>
      </c>
      <c r="S264" s="35" t="n">
        <v>14</v>
      </c>
      <c r="T264" s="37" t="n">
        <v>0.9340000000000001</v>
      </c>
      <c r="U264" s="38">
        <f>IFERROR([@InspDone]/[@InspPlanned],0)</f>
        <v/>
      </c>
      <c r="V264" s="38">
        <f>IFERROR([@ObsClosed]/[@ObsRaised],0)</f>
        <v/>
      </c>
    </row>
    <row r="265">
      <c r="A265" s="33" t="n">
        <v>45870</v>
      </c>
      <c r="B265" s="28">
        <f>YEAR([@Period])</f>
        <v/>
      </c>
      <c r="C265" s="28">
        <f>TEXT([@Period],"mmm")</f>
        <v/>
      </c>
      <c r="D265" s="30">
        <f>MONTH([@Period])</f>
        <v/>
      </c>
      <c r="E265" s="28" t="inlineStr">
        <is>
          <t>Elution &amp; Gold Room</t>
        </is>
      </c>
      <c r="F265" s="28" t="inlineStr">
        <is>
          <t>Processing</t>
        </is>
      </c>
      <c r="G265" s="28" t="inlineStr">
        <is>
          <t>Owner (Asanko)</t>
        </is>
      </c>
      <c r="H265" s="34" t="n">
        <v>3900</v>
      </c>
      <c r="I265" s="35" t="n">
        <v>2</v>
      </c>
      <c r="J265" s="35" t="n">
        <v>1</v>
      </c>
      <c r="K265" s="35" t="n">
        <v>1</v>
      </c>
      <c r="L265" s="35" t="n">
        <v>1</v>
      </c>
      <c r="M265" s="35" t="n">
        <v>2</v>
      </c>
      <c r="N265" s="35" t="n">
        <v>2</v>
      </c>
      <c r="O265" s="36" t="n">
        <v>0.925</v>
      </c>
      <c r="P265" s="35" t="n">
        <v>0</v>
      </c>
      <c r="Q265" s="35" t="n">
        <v>1</v>
      </c>
      <c r="R265" s="35" t="n">
        <v>3</v>
      </c>
      <c r="S265" s="35" t="n">
        <v>3</v>
      </c>
      <c r="T265" s="37" t="n">
        <v>0.9330000000000001</v>
      </c>
      <c r="U265" s="38">
        <f>IFERROR([@InspDone]/[@InspPlanned],0)</f>
        <v/>
      </c>
      <c r="V265" s="38">
        <f>IFERROR([@ObsClosed]/[@ObsRaised],0)</f>
        <v/>
      </c>
    </row>
    <row r="266">
      <c r="A266" s="33" t="n">
        <v>45870</v>
      </c>
      <c r="B266" s="28">
        <f>YEAR([@Period])</f>
        <v/>
      </c>
      <c r="C266" s="28">
        <f>TEXT([@Period],"mmm")</f>
        <v/>
      </c>
      <c r="D266" s="30">
        <f>MONTH([@Period])</f>
        <v/>
      </c>
      <c r="E266" s="28" t="inlineStr">
        <is>
          <t>Tailings Storage Facility</t>
        </is>
      </c>
      <c r="F266" s="28" t="inlineStr">
        <is>
          <t>Environment</t>
        </is>
      </c>
      <c r="G266" s="28" t="inlineStr">
        <is>
          <t>Owner (Asanko)</t>
        </is>
      </c>
      <c r="H266" s="34" t="n">
        <v>3510</v>
      </c>
      <c r="I266" s="35" t="n">
        <v>2</v>
      </c>
      <c r="J266" s="35" t="n">
        <v>1</v>
      </c>
      <c r="K266" s="35" t="n">
        <v>6</v>
      </c>
      <c r="L266" s="35" t="n">
        <v>5</v>
      </c>
      <c r="M266" s="35" t="n">
        <v>2</v>
      </c>
      <c r="N266" s="35" t="n">
        <v>2</v>
      </c>
      <c r="O266" s="36" t="n">
        <v>0.9340000000000001</v>
      </c>
      <c r="P266" s="35" t="n">
        <v>0</v>
      </c>
      <c r="Q266" s="35" t="n">
        <v>3</v>
      </c>
      <c r="R266" s="35" t="n">
        <v>3</v>
      </c>
      <c r="S266" s="35" t="n">
        <v>3</v>
      </c>
      <c r="T266" s="37" t="n">
        <v>0.913</v>
      </c>
      <c r="U266" s="38">
        <f>IFERROR([@InspDone]/[@InspPlanned],0)</f>
        <v/>
      </c>
      <c r="V266" s="38">
        <f>IFERROR([@ObsClosed]/[@ObsRaised],0)</f>
        <v/>
      </c>
    </row>
    <row r="267">
      <c r="A267" s="33" t="n">
        <v>45870</v>
      </c>
      <c r="B267" s="28">
        <f>YEAR([@Period])</f>
        <v/>
      </c>
      <c r="C267" s="28">
        <f>TEXT([@Period],"mmm")</f>
        <v/>
      </c>
      <c r="D267" s="30">
        <f>MONTH([@Period])</f>
        <v/>
      </c>
      <c r="E267" s="28" t="inlineStr">
        <is>
          <t>Water Treatment</t>
        </is>
      </c>
      <c r="F267" s="28" t="inlineStr">
        <is>
          <t>Environment</t>
        </is>
      </c>
      <c r="G267" s="28" t="inlineStr">
        <is>
          <t>Owner (Asanko)</t>
        </is>
      </c>
      <c r="H267" s="34" t="n">
        <v>2316</v>
      </c>
      <c r="I267" s="35" t="n">
        <v>1</v>
      </c>
      <c r="J267" s="35" t="n">
        <v>2</v>
      </c>
      <c r="K267" s="35" t="n">
        <v>2</v>
      </c>
      <c r="L267" s="35" t="n">
        <v>2</v>
      </c>
      <c r="M267" s="35" t="n">
        <v>2</v>
      </c>
      <c r="N267" s="35" t="n">
        <v>2</v>
      </c>
      <c r="O267" s="36" t="n">
        <v>0.978</v>
      </c>
      <c r="P267" s="35" t="n">
        <v>1</v>
      </c>
      <c r="Q267" s="35" t="n">
        <v>4</v>
      </c>
      <c r="R267" s="35" t="n">
        <v>3</v>
      </c>
      <c r="S267" s="35" t="n">
        <v>3</v>
      </c>
      <c r="T267" s="37" t="n">
        <v>0.999</v>
      </c>
      <c r="U267" s="38">
        <f>IFERROR([@InspDone]/[@InspPlanned],0)</f>
        <v/>
      </c>
      <c r="V267" s="38">
        <f>IFERROR([@ObsClosed]/[@ObsRaised],0)</f>
        <v/>
      </c>
    </row>
    <row r="268">
      <c r="A268" s="33" t="n">
        <v>45870</v>
      </c>
      <c r="B268" s="28">
        <f>YEAR([@Period])</f>
        <v/>
      </c>
      <c r="C268" s="28">
        <f>TEXT([@Period],"mmm")</f>
        <v/>
      </c>
      <c r="D268" s="30">
        <f>MONTH([@Period])</f>
        <v/>
      </c>
      <c r="E268" s="28" t="inlineStr">
        <is>
          <t>Assay Laboratory</t>
        </is>
      </c>
      <c r="F268" s="28" t="inlineStr">
        <is>
          <t>Laboratory</t>
        </is>
      </c>
      <c r="G268" s="28" t="inlineStr">
        <is>
          <t>SGS (Laboratory)</t>
        </is>
      </c>
      <c r="H268" s="34" t="n">
        <v>5350</v>
      </c>
      <c r="I268" s="35" t="n">
        <v>0</v>
      </c>
      <c r="J268" s="35" t="n">
        <v>0</v>
      </c>
      <c r="K268" s="35" t="n">
        <v>2</v>
      </c>
      <c r="L268" s="35" t="n">
        <v>2</v>
      </c>
      <c r="M268" s="35" t="n">
        <v>2</v>
      </c>
      <c r="N268" s="35" t="n">
        <v>2</v>
      </c>
      <c r="O268" s="36" t="n">
        <v>0.9340000000000001</v>
      </c>
      <c r="P268" s="35" t="n">
        <v>1</v>
      </c>
      <c r="Q268" s="35" t="n">
        <v>6</v>
      </c>
      <c r="R268" s="35" t="n">
        <v>4</v>
      </c>
      <c r="S268" s="35" t="n">
        <v>4</v>
      </c>
      <c r="T268" s="37" t="n">
        <v>0.911</v>
      </c>
      <c r="U268" s="38">
        <f>IFERROR([@InspDone]/[@InspPlanned],0)</f>
        <v/>
      </c>
      <c r="V268" s="38">
        <f>IFERROR([@ObsClosed]/[@ObsRaised],0)</f>
        <v/>
      </c>
    </row>
    <row r="269">
      <c r="A269" s="33" t="n">
        <v>45870</v>
      </c>
      <c r="B269" s="28">
        <f>YEAR([@Period])</f>
        <v/>
      </c>
      <c r="C269" s="28">
        <f>TEXT([@Period],"mmm")</f>
        <v/>
      </c>
      <c r="D269" s="30">
        <f>MONTH([@Period])</f>
        <v/>
      </c>
      <c r="E269" s="28" t="inlineStr">
        <is>
          <t>HME Workshop</t>
        </is>
      </c>
      <c r="F269" s="28" t="inlineStr">
        <is>
          <t>Engineering</t>
        </is>
      </c>
      <c r="G269" s="28" t="inlineStr">
        <is>
          <t>Owner (Asanko)</t>
        </is>
      </c>
      <c r="H269" s="34" t="n">
        <v>11660</v>
      </c>
      <c r="I269" s="35" t="n">
        <v>3</v>
      </c>
      <c r="J269" s="35" t="n">
        <v>2</v>
      </c>
      <c r="K269" s="35" t="n">
        <v>6</v>
      </c>
      <c r="L269" s="35" t="n">
        <v>6</v>
      </c>
      <c r="M269" s="35" t="n">
        <v>3</v>
      </c>
      <c r="N269" s="35" t="n">
        <v>3</v>
      </c>
      <c r="O269" s="36" t="n">
        <v>0.948</v>
      </c>
      <c r="P269" s="35" t="n">
        <v>1</v>
      </c>
      <c r="Q269" s="35" t="n">
        <v>5</v>
      </c>
      <c r="R269" s="35" t="n">
        <v>9</v>
      </c>
      <c r="S269" s="35" t="n">
        <v>9</v>
      </c>
      <c r="T269" s="37" t="n">
        <v>0.968</v>
      </c>
      <c r="U269" s="38">
        <f>IFERROR([@InspDone]/[@InspPlanned],0)</f>
        <v/>
      </c>
      <c r="V269" s="38">
        <f>IFERROR([@ObsClosed]/[@ObsRaised],0)</f>
        <v/>
      </c>
    </row>
    <row r="270">
      <c r="A270" s="33" t="n">
        <v>45870</v>
      </c>
      <c r="B270" s="28">
        <f>YEAR([@Period])</f>
        <v/>
      </c>
      <c r="C270" s="28">
        <f>TEXT([@Period],"mmm")</f>
        <v/>
      </c>
      <c r="D270" s="30">
        <f>MONTH([@Period])</f>
        <v/>
      </c>
      <c r="E270" s="28" t="inlineStr">
        <is>
          <t>Fuel Farm</t>
        </is>
      </c>
      <c r="F270" s="28" t="inlineStr">
        <is>
          <t>Engineering</t>
        </is>
      </c>
      <c r="G270" s="28" t="inlineStr">
        <is>
          <t>Owner (Asanko)</t>
        </is>
      </c>
      <c r="H270" s="34" t="n">
        <v>2250</v>
      </c>
      <c r="I270" s="35" t="n">
        <v>0</v>
      </c>
      <c r="J270" s="35" t="n">
        <v>0</v>
      </c>
      <c r="K270" s="35" t="n">
        <v>2</v>
      </c>
      <c r="L270" s="35" t="n">
        <v>2</v>
      </c>
      <c r="M270" s="35" t="n">
        <v>2</v>
      </c>
      <c r="N270" s="35" t="n">
        <v>2</v>
      </c>
      <c r="O270" s="36" t="n">
        <v>0.995</v>
      </c>
      <c r="P270" s="35" t="n">
        <v>1</v>
      </c>
      <c r="Q270" s="35" t="n">
        <v>1</v>
      </c>
      <c r="R270" s="35" t="n">
        <v>3</v>
      </c>
      <c r="S270" s="35" t="n">
        <v>3</v>
      </c>
      <c r="T270" s="37" t="n">
        <v>0.89</v>
      </c>
      <c r="U270" s="38">
        <f>IFERROR([@InspDone]/[@InspPlanned],0)</f>
        <v/>
      </c>
      <c r="V270" s="38">
        <f>IFERROR([@ObsClosed]/[@ObsRaised],0)</f>
        <v/>
      </c>
    </row>
    <row r="271">
      <c r="A271" s="33" t="n">
        <v>45870</v>
      </c>
      <c r="B271" s="28">
        <f>YEAR([@Period])</f>
        <v/>
      </c>
      <c r="C271" s="28">
        <f>TEXT([@Period],"mmm")</f>
        <v/>
      </c>
      <c r="D271" s="30">
        <f>MONTH([@Period])</f>
        <v/>
      </c>
      <c r="E271" s="28" t="inlineStr">
        <is>
          <t>Power Station</t>
        </is>
      </c>
      <c r="F271" s="28" t="inlineStr">
        <is>
          <t>Engineering</t>
        </is>
      </c>
      <c r="G271" s="28" t="inlineStr">
        <is>
          <t>Genser (Power)</t>
        </is>
      </c>
      <c r="H271" s="34" t="n">
        <v>4268</v>
      </c>
      <c r="I271" s="35" t="n">
        <v>2</v>
      </c>
      <c r="J271" s="35" t="n">
        <v>1</v>
      </c>
      <c r="K271" s="35" t="n">
        <v>0</v>
      </c>
      <c r="L271" s="35" t="n">
        <v>0</v>
      </c>
      <c r="M271" s="35" t="n">
        <v>2</v>
      </c>
      <c r="N271" s="35" t="n">
        <v>2</v>
      </c>
      <c r="O271" s="36" t="n">
        <v>0.965</v>
      </c>
      <c r="P271" s="35" t="n">
        <v>0</v>
      </c>
      <c r="Q271" s="35" t="n">
        <v>3</v>
      </c>
      <c r="R271" s="35" t="n">
        <v>3</v>
      </c>
      <c r="S271" s="35" t="n">
        <v>3</v>
      </c>
      <c r="T271" s="37" t="n">
        <v>0.981</v>
      </c>
      <c r="U271" s="38">
        <f>IFERROR([@InspDone]/[@InspPlanned],0)</f>
        <v/>
      </c>
      <c r="V271" s="38">
        <f>IFERROR([@ObsClosed]/[@ObsRaised],0)</f>
        <v/>
      </c>
    </row>
    <row r="272">
      <c r="A272" s="33" t="n">
        <v>45870</v>
      </c>
      <c r="B272" s="28">
        <f>YEAR([@Period])</f>
        <v/>
      </c>
      <c r="C272" s="28">
        <f>TEXT([@Period],"mmm")</f>
        <v/>
      </c>
      <c r="D272" s="30">
        <f>MONTH([@Period])</f>
        <v/>
      </c>
      <c r="E272" s="28" t="inlineStr">
        <is>
          <t>Warehouse &amp; Stores</t>
        </is>
      </c>
      <c r="F272" s="28" t="inlineStr">
        <is>
          <t>Logistics</t>
        </is>
      </c>
      <c r="G272" s="28" t="inlineStr">
        <is>
          <t>Owner (Asanko)</t>
        </is>
      </c>
      <c r="H272" s="34" t="n">
        <v>5472</v>
      </c>
      <c r="I272" s="35" t="n">
        <v>2</v>
      </c>
      <c r="J272" s="35" t="n">
        <v>1</v>
      </c>
      <c r="K272" s="35" t="n">
        <v>1</v>
      </c>
      <c r="L272" s="35" t="n">
        <v>1</v>
      </c>
      <c r="M272" s="35" t="n">
        <v>2</v>
      </c>
      <c r="N272" s="35" t="n">
        <v>2</v>
      </c>
      <c r="O272" s="36" t="n">
        <v>0.978</v>
      </c>
      <c r="P272" s="35" t="n">
        <v>0</v>
      </c>
      <c r="Q272" s="35" t="n">
        <v>2</v>
      </c>
      <c r="R272" s="35" t="n">
        <v>4</v>
      </c>
      <c r="S272" s="35" t="n">
        <v>4</v>
      </c>
      <c r="T272" s="37" t="n">
        <v>0.922</v>
      </c>
      <c r="U272" s="38">
        <f>IFERROR([@InspDone]/[@InspPlanned],0)</f>
        <v/>
      </c>
      <c r="V272" s="38">
        <f>IFERROR([@ObsClosed]/[@ObsRaised],0)</f>
        <v/>
      </c>
    </row>
    <row r="273">
      <c r="A273" s="33" t="n">
        <v>45870</v>
      </c>
      <c r="B273" s="28">
        <f>YEAR([@Period])</f>
        <v/>
      </c>
      <c r="C273" s="28">
        <f>TEXT([@Period],"mmm")</f>
        <v/>
      </c>
      <c r="D273" s="30">
        <f>MONTH([@Period])</f>
        <v/>
      </c>
      <c r="E273" s="28" t="inlineStr">
        <is>
          <t>Administration</t>
        </is>
      </c>
      <c r="F273" s="28" t="inlineStr">
        <is>
          <t>Administration</t>
        </is>
      </c>
      <c r="G273" s="28" t="inlineStr">
        <is>
          <t>Owner (Asanko)</t>
        </is>
      </c>
      <c r="H273" s="34" t="n">
        <v>11100</v>
      </c>
      <c r="I273" s="35" t="n">
        <v>5</v>
      </c>
      <c r="J273" s="35" t="n">
        <v>4</v>
      </c>
      <c r="K273" s="35" t="n">
        <v>9</v>
      </c>
      <c r="L273" s="35" t="n">
        <v>8</v>
      </c>
      <c r="M273" s="35" t="n">
        <v>3</v>
      </c>
      <c r="N273" s="35" t="n">
        <v>3</v>
      </c>
      <c r="O273" s="36" t="n">
        <v>0.88</v>
      </c>
      <c r="P273" s="35" t="n">
        <v>0</v>
      </c>
      <c r="Q273" s="35" t="n">
        <v>9</v>
      </c>
      <c r="R273" s="35" t="n">
        <v>10</v>
      </c>
      <c r="S273" s="35" t="n">
        <v>9</v>
      </c>
      <c r="T273" s="37" t="n">
        <v>0.891</v>
      </c>
      <c r="U273" s="38">
        <f>IFERROR([@InspDone]/[@InspPlanned],0)</f>
        <v/>
      </c>
      <c r="V273" s="38">
        <f>IFERROR([@ObsClosed]/[@ObsRaised],0)</f>
        <v/>
      </c>
    </row>
    <row r="274">
      <c r="A274" s="33" t="n">
        <v>45870</v>
      </c>
      <c r="B274" s="28">
        <f>YEAR([@Period])</f>
        <v/>
      </c>
      <c r="C274" s="28">
        <f>TEXT([@Period],"mmm")</f>
        <v/>
      </c>
      <c r="D274" s="30">
        <f>MONTH([@Period])</f>
        <v/>
      </c>
      <c r="E274" s="28" t="inlineStr">
        <is>
          <t>Accommodation Camp</t>
        </is>
      </c>
      <c r="F274" s="28" t="inlineStr">
        <is>
          <t>Administration</t>
        </is>
      </c>
      <c r="G274" s="28" t="inlineStr">
        <is>
          <t>Catering Co (Camp)</t>
        </is>
      </c>
      <c r="H274" s="34" t="n">
        <v>5520</v>
      </c>
      <c r="I274" s="35" t="n">
        <v>0</v>
      </c>
      <c r="J274" s="35" t="n">
        <v>0</v>
      </c>
      <c r="K274" s="35" t="n">
        <v>1</v>
      </c>
      <c r="L274" s="35" t="n">
        <v>1</v>
      </c>
      <c r="M274" s="35" t="n">
        <v>2</v>
      </c>
      <c r="N274" s="35" t="n">
        <v>2</v>
      </c>
      <c r="O274" s="36" t="n">
        <v>0.98</v>
      </c>
      <c r="P274" s="35" t="n">
        <v>0</v>
      </c>
      <c r="Q274" s="35" t="n">
        <v>1</v>
      </c>
      <c r="R274" s="35" t="n">
        <v>5</v>
      </c>
      <c r="S274" s="35" t="n">
        <v>5</v>
      </c>
      <c r="T274" s="37" t="n">
        <v>0.966</v>
      </c>
      <c r="U274" s="38">
        <f>IFERROR([@InspDone]/[@InspPlanned],0)</f>
        <v/>
      </c>
      <c r="V274" s="38">
        <f>IFERROR([@ObsClosed]/[@ObsRaised],0)</f>
        <v/>
      </c>
    </row>
    <row r="275">
      <c r="A275" s="33" t="n">
        <v>45870</v>
      </c>
      <c r="B275" s="28">
        <f>YEAR([@Period])</f>
        <v/>
      </c>
      <c r="C275" s="28">
        <f>TEXT([@Period],"mmm")</f>
        <v/>
      </c>
      <c r="D275" s="30">
        <f>MONTH([@Period])</f>
        <v/>
      </c>
      <c r="E275" s="28" t="inlineStr">
        <is>
          <t>Security Gatehouse</t>
        </is>
      </c>
      <c r="F275" s="28" t="inlineStr">
        <is>
          <t>Security</t>
        </is>
      </c>
      <c r="G275" s="28" t="inlineStr">
        <is>
          <t>G4S (Security)</t>
        </is>
      </c>
      <c r="H275" s="34" t="n">
        <v>9000</v>
      </c>
      <c r="I275" s="35" t="n">
        <v>1</v>
      </c>
      <c r="J275" s="35" t="n">
        <v>1</v>
      </c>
      <c r="K275" s="35" t="n">
        <v>3</v>
      </c>
      <c r="L275" s="35" t="n">
        <v>3</v>
      </c>
      <c r="M275" s="35" t="n">
        <v>2</v>
      </c>
      <c r="N275" s="35" t="n">
        <v>2</v>
      </c>
      <c r="O275" s="36" t="n">
        <v>0.88</v>
      </c>
      <c r="P275" s="35" t="n">
        <v>0</v>
      </c>
      <c r="Q275" s="35" t="n">
        <v>1</v>
      </c>
      <c r="R275" s="35" t="n">
        <v>7</v>
      </c>
      <c r="S275" s="35" t="n">
        <v>7</v>
      </c>
      <c r="T275" s="37" t="n">
        <v>0.957</v>
      </c>
      <c r="U275" s="38">
        <f>IFERROR([@InspDone]/[@InspPlanned],0)</f>
        <v/>
      </c>
      <c r="V275" s="38">
        <f>IFERROR([@ObsClosed]/[@ObsRaised],0)</f>
        <v/>
      </c>
    </row>
    <row r="276">
      <c r="A276" s="33" t="n">
        <v>45901</v>
      </c>
      <c r="B276" s="28">
        <f>YEAR([@Period])</f>
        <v/>
      </c>
      <c r="C276" s="28">
        <f>TEXT([@Period],"mmm")</f>
        <v/>
      </c>
      <c r="D276" s="30">
        <f>MONTH([@Period])</f>
        <v/>
      </c>
      <c r="E276" s="28" t="inlineStr">
        <is>
          <t>Nkran Open Pit</t>
        </is>
      </c>
      <c r="F276" s="28" t="inlineStr">
        <is>
          <t>Mining</t>
        </is>
      </c>
      <c r="G276" s="28" t="inlineStr">
        <is>
          <t>AUMS (Mining Contractor)</t>
        </is>
      </c>
      <c r="H276" s="34" t="n">
        <v>24720</v>
      </c>
      <c r="I276" s="35" t="n">
        <v>5</v>
      </c>
      <c r="J276" s="35" t="n">
        <v>3</v>
      </c>
      <c r="K276" s="35" t="n">
        <v>13</v>
      </c>
      <c r="L276" s="35" t="n">
        <v>10</v>
      </c>
      <c r="M276" s="35" t="n">
        <v>6</v>
      </c>
      <c r="N276" s="35" t="n">
        <v>6</v>
      </c>
      <c r="O276" s="36" t="n">
        <v>0.904</v>
      </c>
      <c r="P276" s="35" t="n">
        <v>1</v>
      </c>
      <c r="Q276" s="35" t="n">
        <v>10</v>
      </c>
      <c r="R276" s="35" t="n">
        <v>20</v>
      </c>
      <c r="S276" s="35" t="n">
        <v>18</v>
      </c>
      <c r="T276" s="37" t="n">
        <v>0.889</v>
      </c>
      <c r="U276" s="38">
        <f>IFERROR([@InspDone]/[@InspPlanned],0)</f>
        <v/>
      </c>
      <c r="V276" s="38">
        <f>IFERROR([@ObsClosed]/[@ObsRaised],0)</f>
        <v/>
      </c>
    </row>
    <row r="277">
      <c r="A277" s="33" t="n">
        <v>45901</v>
      </c>
      <c r="B277" s="28">
        <f>YEAR([@Period])</f>
        <v/>
      </c>
      <c r="C277" s="28">
        <f>TEXT([@Period],"mmm")</f>
        <v/>
      </c>
      <c r="D277" s="30">
        <f>MONTH([@Period])</f>
        <v/>
      </c>
      <c r="E277" s="28" t="inlineStr">
        <is>
          <t>Esaase Open Pit</t>
        </is>
      </c>
      <c r="F277" s="28" t="inlineStr">
        <is>
          <t>Mining</t>
        </is>
      </c>
      <c r="G277" s="28" t="inlineStr">
        <is>
          <t>AUMS (Mining Contractor)</t>
        </is>
      </c>
      <c r="H277" s="34" t="n">
        <v>21340</v>
      </c>
      <c r="I277" s="35" t="n">
        <v>10</v>
      </c>
      <c r="J277" s="35" t="n">
        <v>3</v>
      </c>
      <c r="K277" s="35" t="n">
        <v>12</v>
      </c>
      <c r="L277" s="35" t="n">
        <v>10</v>
      </c>
      <c r="M277" s="35" t="n">
        <v>6</v>
      </c>
      <c r="N277" s="35" t="n">
        <v>6</v>
      </c>
      <c r="O277" s="36" t="n">
        <v>0.884</v>
      </c>
      <c r="P277" s="35" t="n">
        <v>0</v>
      </c>
      <c r="Q277" s="35" t="n">
        <v>11</v>
      </c>
      <c r="R277" s="35" t="n">
        <v>18</v>
      </c>
      <c r="S277" s="35" t="n">
        <v>18</v>
      </c>
      <c r="T277" s="37" t="n">
        <v>0.951</v>
      </c>
      <c r="U277" s="38">
        <f>IFERROR([@InspDone]/[@InspPlanned],0)</f>
        <v/>
      </c>
      <c r="V277" s="38">
        <f>IFERROR([@ObsClosed]/[@ObsRaised],0)</f>
        <v/>
      </c>
    </row>
    <row r="278">
      <c r="A278" s="33" t="n">
        <v>45901</v>
      </c>
      <c r="B278" s="28">
        <f>YEAR([@Period])</f>
        <v/>
      </c>
      <c r="C278" s="28">
        <f>TEXT([@Period],"mmm")</f>
        <v/>
      </c>
      <c r="D278" s="30">
        <f>MONTH([@Period])</f>
        <v/>
      </c>
      <c r="E278" s="28" t="inlineStr">
        <is>
          <t>Drill &amp; Blast</t>
        </is>
      </c>
      <c r="F278" s="28" t="inlineStr">
        <is>
          <t>Mining</t>
        </is>
      </c>
      <c r="G278" s="28" t="inlineStr">
        <is>
          <t>Maxam (Blasting)</t>
        </is>
      </c>
      <c r="H278" s="34" t="n">
        <v>7240</v>
      </c>
      <c r="I278" s="35" t="n">
        <v>1</v>
      </c>
      <c r="J278" s="35" t="n">
        <v>3</v>
      </c>
      <c r="K278" s="35" t="n">
        <v>1</v>
      </c>
      <c r="L278" s="35" t="n">
        <v>1</v>
      </c>
      <c r="M278" s="35" t="n">
        <v>2</v>
      </c>
      <c r="N278" s="35" t="n">
        <v>2</v>
      </c>
      <c r="O278" s="36" t="n">
        <v>0.9320000000000001</v>
      </c>
      <c r="P278" s="35" t="n">
        <v>1</v>
      </c>
      <c r="Q278" s="35" t="n">
        <v>2</v>
      </c>
      <c r="R278" s="35" t="n">
        <v>6</v>
      </c>
      <c r="S278" s="35" t="n">
        <v>6</v>
      </c>
      <c r="T278" s="37" t="n">
        <v>0.947</v>
      </c>
      <c r="U278" s="38">
        <f>IFERROR([@InspDone]/[@InspPlanned],0)</f>
        <v/>
      </c>
      <c r="V278" s="38">
        <f>IFERROR([@ObsClosed]/[@ObsRaised],0)</f>
        <v/>
      </c>
    </row>
    <row r="279">
      <c r="A279" s="33" t="n">
        <v>45901</v>
      </c>
      <c r="B279" s="28">
        <f>YEAR([@Period])</f>
        <v/>
      </c>
      <c r="C279" s="28">
        <f>TEXT([@Period],"mmm")</f>
        <v/>
      </c>
      <c r="D279" s="30">
        <f>MONTH([@Period])</f>
        <v/>
      </c>
      <c r="E279" s="28" t="inlineStr">
        <is>
          <t>Haul Roads</t>
        </is>
      </c>
      <c r="F279" s="28" t="inlineStr">
        <is>
          <t>Mining</t>
        </is>
      </c>
      <c r="G279" s="28" t="inlineStr">
        <is>
          <t>AUMS (Mining Contractor)</t>
        </is>
      </c>
      <c r="H279" s="34" t="n">
        <v>13500</v>
      </c>
      <c r="I279" s="35" t="n">
        <v>3</v>
      </c>
      <c r="J279" s="35" t="n">
        <v>1</v>
      </c>
      <c r="K279" s="35" t="n">
        <v>4</v>
      </c>
      <c r="L279" s="35" t="n">
        <v>3</v>
      </c>
      <c r="M279" s="35" t="n">
        <v>3</v>
      </c>
      <c r="N279" s="35" t="n">
        <v>3</v>
      </c>
      <c r="O279" s="36" t="n">
        <v>0.952</v>
      </c>
      <c r="P279" s="35" t="n">
        <v>0</v>
      </c>
      <c r="Q279" s="35" t="n">
        <v>8</v>
      </c>
      <c r="R279" s="35" t="n">
        <v>10</v>
      </c>
      <c r="S279" s="35" t="n">
        <v>9</v>
      </c>
      <c r="T279" s="37" t="n">
        <v>0.927</v>
      </c>
      <c r="U279" s="38">
        <f>IFERROR([@InspDone]/[@InspPlanned],0)</f>
        <v/>
      </c>
      <c r="V279" s="38">
        <f>IFERROR([@ObsClosed]/[@ObsRaised],0)</f>
        <v/>
      </c>
    </row>
    <row r="280">
      <c r="A280" s="33" t="n">
        <v>45901</v>
      </c>
      <c r="B280" s="28">
        <f>YEAR([@Period])</f>
        <v/>
      </c>
      <c r="C280" s="28">
        <f>TEXT([@Period],"mmm")</f>
        <v/>
      </c>
      <c r="D280" s="30">
        <f>MONTH([@Period])</f>
        <v/>
      </c>
      <c r="E280" s="28" t="inlineStr">
        <is>
          <t>Explosives Magazine</t>
        </is>
      </c>
      <c r="F280" s="28" t="inlineStr">
        <is>
          <t>Mining</t>
        </is>
      </c>
      <c r="G280" s="28" t="inlineStr">
        <is>
          <t>Maxam (Blasting)</t>
        </is>
      </c>
      <c r="H280" s="34" t="n">
        <v>2940</v>
      </c>
      <c r="I280" s="35" t="n">
        <v>0</v>
      </c>
      <c r="J280" s="35" t="n">
        <v>2</v>
      </c>
      <c r="K280" s="35" t="n">
        <v>3</v>
      </c>
      <c r="L280" s="35" t="n">
        <v>3</v>
      </c>
      <c r="M280" s="35" t="n">
        <v>2</v>
      </c>
      <c r="N280" s="35" t="n">
        <v>2</v>
      </c>
      <c r="O280" s="36" t="n">
        <v>0.949</v>
      </c>
      <c r="P280" s="35" t="n">
        <v>0</v>
      </c>
      <c r="Q280" s="35" t="n">
        <v>3</v>
      </c>
      <c r="R280" s="35" t="n">
        <v>3</v>
      </c>
      <c r="S280" s="35" t="n">
        <v>3</v>
      </c>
      <c r="T280" s="37" t="n">
        <v>0.881</v>
      </c>
      <c r="U280" s="38">
        <f>IFERROR([@InspDone]/[@InspPlanned],0)</f>
        <v/>
      </c>
      <c r="V280" s="38">
        <f>IFERROR([@ObsClosed]/[@ObsRaised],0)</f>
        <v/>
      </c>
    </row>
    <row r="281">
      <c r="A281" s="33" t="n">
        <v>45901</v>
      </c>
      <c r="B281" s="28">
        <f>YEAR([@Period])</f>
        <v/>
      </c>
      <c r="C281" s="28">
        <f>TEXT([@Period],"mmm")</f>
        <v/>
      </c>
      <c r="D281" s="30">
        <f>MONTH([@Period])</f>
        <v/>
      </c>
      <c r="E281" s="28" t="inlineStr">
        <is>
          <t>Crushing Circuit</t>
        </is>
      </c>
      <c r="F281" s="28" t="inlineStr">
        <is>
          <t>Processing</t>
        </is>
      </c>
      <c r="G281" s="28" t="inlineStr">
        <is>
          <t>Owner (Asanko)</t>
        </is>
      </c>
      <c r="H281" s="34" t="n">
        <v>7945</v>
      </c>
      <c r="I281" s="35" t="n">
        <v>0</v>
      </c>
      <c r="J281" s="35" t="n">
        <v>2</v>
      </c>
      <c r="K281" s="35" t="n">
        <v>1</v>
      </c>
      <c r="L281" s="35" t="n">
        <v>1</v>
      </c>
      <c r="M281" s="35" t="n">
        <v>2</v>
      </c>
      <c r="N281" s="35" t="n">
        <v>2</v>
      </c>
      <c r="O281" s="36" t="n">
        <v>0.985</v>
      </c>
      <c r="P281" s="35" t="n">
        <v>0</v>
      </c>
      <c r="Q281" s="35" t="n">
        <v>2</v>
      </c>
      <c r="R281" s="35" t="n">
        <v>5</v>
      </c>
      <c r="S281" s="35" t="n">
        <v>5</v>
      </c>
      <c r="T281" s="37" t="n">
        <v>0.93</v>
      </c>
      <c r="U281" s="38">
        <f>IFERROR([@InspDone]/[@InspPlanned],0)</f>
        <v/>
      </c>
      <c r="V281" s="38">
        <f>IFERROR([@ObsClosed]/[@ObsRaised],0)</f>
        <v/>
      </c>
    </row>
    <row r="282">
      <c r="A282" s="33" t="n">
        <v>45901</v>
      </c>
      <c r="B282" s="28">
        <f>YEAR([@Period])</f>
        <v/>
      </c>
      <c r="C282" s="28">
        <f>TEXT([@Period],"mmm")</f>
        <v/>
      </c>
      <c r="D282" s="30">
        <f>MONTH([@Period])</f>
        <v/>
      </c>
      <c r="E282" s="28" t="inlineStr">
        <is>
          <t>Processing Plant (CIL)</t>
        </is>
      </c>
      <c r="F282" s="28" t="inlineStr">
        <is>
          <t>Processing</t>
        </is>
      </c>
      <c r="G282" s="28" t="inlineStr">
        <is>
          <t>Owner (Asanko)</t>
        </is>
      </c>
      <c r="H282" s="34" t="n">
        <v>20160</v>
      </c>
      <c r="I282" s="35" t="n">
        <v>3</v>
      </c>
      <c r="J282" s="35" t="n">
        <v>5</v>
      </c>
      <c r="K282" s="35" t="n">
        <v>10</v>
      </c>
      <c r="L282" s="35" t="n">
        <v>8</v>
      </c>
      <c r="M282" s="35" t="n">
        <v>5</v>
      </c>
      <c r="N282" s="35" t="n">
        <v>5</v>
      </c>
      <c r="O282" s="36" t="n">
        <v>0.887</v>
      </c>
      <c r="P282" s="35" t="n">
        <v>0</v>
      </c>
      <c r="Q282" s="35" t="n">
        <v>14</v>
      </c>
      <c r="R282" s="35" t="n">
        <v>15</v>
      </c>
      <c r="S282" s="35" t="n">
        <v>14</v>
      </c>
      <c r="T282" s="37" t="n">
        <v>0.929</v>
      </c>
      <c r="U282" s="38">
        <f>IFERROR([@InspDone]/[@InspPlanned],0)</f>
        <v/>
      </c>
      <c r="V282" s="38">
        <f>IFERROR([@ObsClosed]/[@ObsRaised],0)</f>
        <v/>
      </c>
    </row>
    <row r="283">
      <c r="A283" s="33" t="n">
        <v>45901</v>
      </c>
      <c r="B283" s="28">
        <f>YEAR([@Period])</f>
        <v/>
      </c>
      <c r="C283" s="28">
        <f>TEXT([@Period],"mmm")</f>
        <v/>
      </c>
      <c r="D283" s="30">
        <f>MONTH([@Period])</f>
        <v/>
      </c>
      <c r="E283" s="28" t="inlineStr">
        <is>
          <t>Elution &amp; Gold Room</t>
        </is>
      </c>
      <c r="F283" s="28" t="inlineStr">
        <is>
          <t>Processing</t>
        </is>
      </c>
      <c r="G283" s="28" t="inlineStr">
        <is>
          <t>Owner (Asanko)</t>
        </is>
      </c>
      <c r="H283" s="34" t="n">
        <v>3900</v>
      </c>
      <c r="I283" s="35" t="n">
        <v>1</v>
      </c>
      <c r="J283" s="35" t="n">
        <v>2</v>
      </c>
      <c r="K283" s="35" t="n">
        <v>3</v>
      </c>
      <c r="L283" s="35" t="n">
        <v>2</v>
      </c>
      <c r="M283" s="35" t="n">
        <v>2</v>
      </c>
      <c r="N283" s="35" t="n">
        <v>2</v>
      </c>
      <c r="O283" s="36" t="n">
        <v>0.892</v>
      </c>
      <c r="P283" s="35" t="n">
        <v>1</v>
      </c>
      <c r="Q283" s="35" t="n">
        <v>1</v>
      </c>
      <c r="R283" s="35" t="n">
        <v>3</v>
      </c>
      <c r="S283" s="35" t="n">
        <v>3</v>
      </c>
      <c r="T283" s="37" t="n">
        <v>0.903</v>
      </c>
      <c r="U283" s="38">
        <f>IFERROR([@InspDone]/[@InspPlanned],0)</f>
        <v/>
      </c>
      <c r="V283" s="38">
        <f>IFERROR([@ObsClosed]/[@ObsRaised],0)</f>
        <v/>
      </c>
    </row>
    <row r="284">
      <c r="A284" s="33" t="n">
        <v>45901</v>
      </c>
      <c r="B284" s="28">
        <f>YEAR([@Period])</f>
        <v/>
      </c>
      <c r="C284" s="28">
        <f>TEXT([@Period],"mmm")</f>
        <v/>
      </c>
      <c r="D284" s="30">
        <f>MONTH([@Period])</f>
        <v/>
      </c>
      <c r="E284" s="28" t="inlineStr">
        <is>
          <t>Tailings Storage Facility</t>
        </is>
      </c>
      <c r="F284" s="28" t="inlineStr">
        <is>
          <t>Environment</t>
        </is>
      </c>
      <c r="G284" s="28" t="inlineStr">
        <is>
          <t>Owner (Asanko)</t>
        </is>
      </c>
      <c r="H284" s="34" t="n">
        <v>3348</v>
      </c>
      <c r="I284" s="35" t="n">
        <v>3</v>
      </c>
      <c r="J284" s="35" t="n">
        <v>0</v>
      </c>
      <c r="K284" s="35" t="n">
        <v>2</v>
      </c>
      <c r="L284" s="35" t="n">
        <v>2</v>
      </c>
      <c r="M284" s="35" t="n">
        <v>2</v>
      </c>
      <c r="N284" s="35" t="n">
        <v>2</v>
      </c>
      <c r="O284" s="36" t="n">
        <v>0.966</v>
      </c>
      <c r="P284" s="35" t="n">
        <v>0</v>
      </c>
      <c r="Q284" s="35" t="n">
        <v>2</v>
      </c>
      <c r="R284" s="35" t="n">
        <v>3</v>
      </c>
      <c r="S284" s="35" t="n">
        <v>3</v>
      </c>
      <c r="T284" s="37" t="n">
        <v>0.928</v>
      </c>
      <c r="U284" s="38">
        <f>IFERROR([@InspDone]/[@InspPlanned],0)</f>
        <v/>
      </c>
      <c r="V284" s="38">
        <f>IFERROR([@ObsClosed]/[@ObsRaised],0)</f>
        <v/>
      </c>
    </row>
    <row r="285">
      <c r="A285" s="33" t="n">
        <v>45901</v>
      </c>
      <c r="B285" s="28">
        <f>YEAR([@Period])</f>
        <v/>
      </c>
      <c r="C285" s="28">
        <f>TEXT([@Period],"mmm")</f>
        <v/>
      </c>
      <c r="D285" s="30">
        <f>MONTH([@Period])</f>
        <v/>
      </c>
      <c r="E285" s="28" t="inlineStr">
        <is>
          <t>Water Treatment</t>
        </is>
      </c>
      <c r="F285" s="28" t="inlineStr">
        <is>
          <t>Environment</t>
        </is>
      </c>
      <c r="G285" s="28" t="inlineStr">
        <is>
          <t>Owner (Asanko)</t>
        </is>
      </c>
      <c r="H285" s="34" t="n">
        <v>2700</v>
      </c>
      <c r="I285" s="35" t="n">
        <v>0</v>
      </c>
      <c r="J285" s="35" t="n">
        <v>5</v>
      </c>
      <c r="K285" s="35" t="n">
        <v>2</v>
      </c>
      <c r="L285" s="35" t="n">
        <v>2</v>
      </c>
      <c r="M285" s="35" t="n">
        <v>2</v>
      </c>
      <c r="N285" s="35" t="n">
        <v>2</v>
      </c>
      <c r="O285" s="36" t="n">
        <v>0.903</v>
      </c>
      <c r="P285" s="35" t="n">
        <v>0</v>
      </c>
      <c r="Q285" s="35" t="n">
        <v>4</v>
      </c>
      <c r="R285" s="35" t="n">
        <v>3</v>
      </c>
      <c r="S285" s="35" t="n">
        <v>3</v>
      </c>
      <c r="T285" s="37" t="n">
        <v>0.92</v>
      </c>
      <c r="U285" s="38">
        <f>IFERROR([@InspDone]/[@InspPlanned],0)</f>
        <v/>
      </c>
      <c r="V285" s="38">
        <f>IFERROR([@ObsClosed]/[@ObsRaised],0)</f>
        <v/>
      </c>
    </row>
    <row r="286">
      <c r="A286" s="33" t="n">
        <v>45901</v>
      </c>
      <c r="B286" s="28">
        <f>YEAR([@Period])</f>
        <v/>
      </c>
      <c r="C286" s="28">
        <f>TEXT([@Period],"mmm")</f>
        <v/>
      </c>
      <c r="D286" s="30">
        <f>MONTH([@Period])</f>
        <v/>
      </c>
      <c r="E286" s="28" t="inlineStr">
        <is>
          <t>Assay Laboratory</t>
        </is>
      </c>
      <c r="F286" s="28" t="inlineStr">
        <is>
          <t>Laboratory</t>
        </is>
      </c>
      <c r="G286" s="28" t="inlineStr">
        <is>
          <t>SGS (Laboratory)</t>
        </is>
      </c>
      <c r="H286" s="34" t="n">
        <v>5475</v>
      </c>
      <c r="I286" s="35" t="n">
        <v>1</v>
      </c>
      <c r="J286" s="35" t="n">
        <v>0</v>
      </c>
      <c r="K286" s="35" t="n">
        <v>2</v>
      </c>
      <c r="L286" s="35" t="n">
        <v>2</v>
      </c>
      <c r="M286" s="35" t="n">
        <v>2</v>
      </c>
      <c r="N286" s="35" t="n">
        <v>2</v>
      </c>
      <c r="O286" s="36" t="n">
        <v>0.921</v>
      </c>
      <c r="P286" s="35" t="n">
        <v>0</v>
      </c>
      <c r="Q286" s="35" t="n">
        <v>1</v>
      </c>
      <c r="R286" s="35" t="n">
        <v>4</v>
      </c>
      <c r="S286" s="35" t="n">
        <v>4</v>
      </c>
      <c r="T286" s="37" t="n">
        <v>0.948</v>
      </c>
      <c r="U286" s="38">
        <f>IFERROR([@InspDone]/[@InspPlanned],0)</f>
        <v/>
      </c>
      <c r="V286" s="38">
        <f>IFERROR([@ObsClosed]/[@ObsRaised],0)</f>
        <v/>
      </c>
    </row>
    <row r="287">
      <c r="A287" s="33" t="n">
        <v>45901</v>
      </c>
      <c r="B287" s="28">
        <f>YEAR([@Period])</f>
        <v/>
      </c>
      <c r="C287" s="28">
        <f>TEXT([@Period],"mmm")</f>
        <v/>
      </c>
      <c r="D287" s="30">
        <f>MONTH([@Period])</f>
        <v/>
      </c>
      <c r="E287" s="28" t="inlineStr">
        <is>
          <t>HME Workshop</t>
        </is>
      </c>
      <c r="F287" s="28" t="inlineStr">
        <is>
          <t>Engineering</t>
        </is>
      </c>
      <c r="G287" s="28" t="inlineStr">
        <is>
          <t>Owner (Asanko)</t>
        </is>
      </c>
      <c r="H287" s="34" t="n">
        <v>11330</v>
      </c>
      <c r="I287" s="35" t="n">
        <v>3</v>
      </c>
      <c r="J287" s="35" t="n">
        <v>1</v>
      </c>
      <c r="K287" s="35" t="n">
        <v>3</v>
      </c>
      <c r="L287" s="35" t="n">
        <v>3</v>
      </c>
      <c r="M287" s="35" t="n">
        <v>3</v>
      </c>
      <c r="N287" s="35" t="n">
        <v>3</v>
      </c>
      <c r="O287" s="36" t="n">
        <v>0.972</v>
      </c>
      <c r="P287" s="35" t="n">
        <v>1</v>
      </c>
      <c r="Q287" s="35" t="n">
        <v>8</v>
      </c>
      <c r="R287" s="35" t="n">
        <v>9</v>
      </c>
      <c r="S287" s="35" t="n">
        <v>8</v>
      </c>
      <c r="T287" s="37" t="n">
        <v>0.899</v>
      </c>
      <c r="U287" s="38">
        <f>IFERROR([@InspDone]/[@InspPlanned],0)</f>
        <v/>
      </c>
      <c r="V287" s="38">
        <f>IFERROR([@ObsClosed]/[@ObsRaised],0)</f>
        <v/>
      </c>
    </row>
    <row r="288">
      <c r="A288" s="33" t="n">
        <v>45901</v>
      </c>
      <c r="B288" s="28">
        <f>YEAR([@Period])</f>
        <v/>
      </c>
      <c r="C288" s="28">
        <f>TEXT([@Period],"mmm")</f>
        <v/>
      </c>
      <c r="D288" s="30">
        <f>MONTH([@Period])</f>
        <v/>
      </c>
      <c r="E288" s="28" t="inlineStr">
        <is>
          <t>Fuel Farm</t>
        </is>
      </c>
      <c r="F288" s="28" t="inlineStr">
        <is>
          <t>Engineering</t>
        </is>
      </c>
      <c r="G288" s="28" t="inlineStr">
        <is>
          <t>Owner (Asanko)</t>
        </is>
      </c>
      <c r="H288" s="34" t="n">
        <v>1850</v>
      </c>
      <c r="I288" s="35" t="n">
        <v>1</v>
      </c>
      <c r="J288" s="35" t="n">
        <v>2</v>
      </c>
      <c r="K288" s="35" t="n">
        <v>2</v>
      </c>
      <c r="L288" s="35" t="n">
        <v>2</v>
      </c>
      <c r="M288" s="35" t="n">
        <v>2</v>
      </c>
      <c r="N288" s="35" t="n">
        <v>2</v>
      </c>
      <c r="O288" s="36" t="n">
        <v>0.966</v>
      </c>
      <c r="P288" s="35" t="n">
        <v>0</v>
      </c>
      <c r="Q288" s="35" t="n">
        <v>4</v>
      </c>
      <c r="R288" s="35" t="n">
        <v>3</v>
      </c>
      <c r="S288" s="35" t="n">
        <v>3</v>
      </c>
      <c r="T288" s="37" t="n">
        <v>0.969</v>
      </c>
      <c r="U288" s="38">
        <f>IFERROR([@InspDone]/[@InspPlanned],0)</f>
        <v/>
      </c>
      <c r="V288" s="38">
        <f>IFERROR([@ObsClosed]/[@ObsRaised],0)</f>
        <v/>
      </c>
    </row>
    <row r="289">
      <c r="A289" s="33" t="n">
        <v>45901</v>
      </c>
      <c r="B289" s="28">
        <f>YEAR([@Period])</f>
        <v/>
      </c>
      <c r="C289" s="28">
        <f>TEXT([@Period],"mmm")</f>
        <v/>
      </c>
      <c r="D289" s="30">
        <f>MONTH([@Period])</f>
        <v/>
      </c>
      <c r="E289" s="28" t="inlineStr">
        <is>
          <t>Power Station</t>
        </is>
      </c>
      <c r="F289" s="28" t="inlineStr">
        <is>
          <t>Engineering</t>
        </is>
      </c>
      <c r="G289" s="28" t="inlineStr">
        <is>
          <t>Genser (Power)</t>
        </is>
      </c>
      <c r="H289" s="34" t="n">
        <v>4026</v>
      </c>
      <c r="I289" s="35" t="n">
        <v>1</v>
      </c>
      <c r="J289" s="35" t="n">
        <v>1</v>
      </c>
      <c r="K289" s="35" t="n">
        <v>4</v>
      </c>
      <c r="L289" s="35" t="n">
        <v>3</v>
      </c>
      <c r="M289" s="35" t="n">
        <v>2</v>
      </c>
      <c r="N289" s="35" t="n">
        <v>2</v>
      </c>
      <c r="O289" s="36" t="n">
        <v>0.91</v>
      </c>
      <c r="P289" s="35" t="n">
        <v>1</v>
      </c>
      <c r="Q289" s="35" t="n">
        <v>3</v>
      </c>
      <c r="R289" s="35" t="n">
        <v>3</v>
      </c>
      <c r="S289" s="35" t="n">
        <v>3</v>
      </c>
      <c r="T289" s="37" t="n">
        <v>0.949</v>
      </c>
      <c r="U289" s="38">
        <f>IFERROR([@InspDone]/[@InspPlanned],0)</f>
        <v/>
      </c>
      <c r="V289" s="38">
        <f>IFERROR([@ObsClosed]/[@ObsRaised],0)</f>
        <v/>
      </c>
    </row>
    <row r="290">
      <c r="A290" s="33" t="n">
        <v>45901</v>
      </c>
      <c r="B290" s="28">
        <f>YEAR([@Period])</f>
        <v/>
      </c>
      <c r="C290" s="28">
        <f>TEXT([@Period],"mmm")</f>
        <v/>
      </c>
      <c r="D290" s="30">
        <f>MONTH([@Period])</f>
        <v/>
      </c>
      <c r="E290" s="28" t="inlineStr">
        <is>
          <t>Warehouse &amp; Stores</t>
        </is>
      </c>
      <c r="F290" s="28" t="inlineStr">
        <is>
          <t>Logistics</t>
        </is>
      </c>
      <c r="G290" s="28" t="inlineStr">
        <is>
          <t>Owner (Asanko)</t>
        </is>
      </c>
      <c r="H290" s="34" t="n">
        <v>4632</v>
      </c>
      <c r="I290" s="35" t="n">
        <v>3</v>
      </c>
      <c r="J290" s="35" t="n">
        <v>0</v>
      </c>
      <c r="K290" s="35" t="n">
        <v>2</v>
      </c>
      <c r="L290" s="35" t="n">
        <v>2</v>
      </c>
      <c r="M290" s="35" t="n">
        <v>2</v>
      </c>
      <c r="N290" s="35" t="n">
        <v>2</v>
      </c>
      <c r="O290" s="36" t="n">
        <v>0.924</v>
      </c>
      <c r="P290" s="35" t="n">
        <v>1</v>
      </c>
      <c r="Q290" s="35" t="n">
        <v>7</v>
      </c>
      <c r="R290" s="35" t="n">
        <v>4</v>
      </c>
      <c r="S290" s="35" t="n">
        <v>4</v>
      </c>
      <c r="T290" s="37" t="n">
        <v>0.966</v>
      </c>
      <c r="U290" s="38">
        <f>IFERROR([@InspDone]/[@InspPlanned],0)</f>
        <v/>
      </c>
      <c r="V290" s="38">
        <f>IFERROR([@ObsClosed]/[@ObsRaised],0)</f>
        <v/>
      </c>
    </row>
    <row r="291">
      <c r="A291" s="33" t="n">
        <v>45901</v>
      </c>
      <c r="B291" s="28">
        <f>YEAR([@Period])</f>
        <v/>
      </c>
      <c r="C291" s="28">
        <f>TEXT([@Period],"mmm")</f>
        <v/>
      </c>
      <c r="D291" s="30">
        <f>MONTH([@Period])</f>
        <v/>
      </c>
      <c r="E291" s="28" t="inlineStr">
        <is>
          <t>Administration</t>
        </is>
      </c>
      <c r="F291" s="28" t="inlineStr">
        <is>
          <t>Administration</t>
        </is>
      </c>
      <c r="G291" s="28" t="inlineStr">
        <is>
          <t>Owner (Asanko)</t>
        </is>
      </c>
      <c r="H291" s="34" t="n">
        <v>10860</v>
      </c>
      <c r="I291" s="35" t="n">
        <v>2</v>
      </c>
      <c r="J291" s="35" t="n">
        <v>2</v>
      </c>
      <c r="K291" s="35" t="n">
        <v>4</v>
      </c>
      <c r="L291" s="35" t="n">
        <v>3</v>
      </c>
      <c r="M291" s="35" t="n">
        <v>3</v>
      </c>
      <c r="N291" s="35" t="n">
        <v>3</v>
      </c>
      <c r="O291" s="36" t="n">
        <v>0.945</v>
      </c>
      <c r="P291" s="35" t="n">
        <v>0</v>
      </c>
      <c r="Q291" s="35" t="n">
        <v>5</v>
      </c>
      <c r="R291" s="35" t="n">
        <v>10</v>
      </c>
      <c r="S291" s="35" t="n">
        <v>10</v>
      </c>
      <c r="T291" s="37" t="n">
        <v>0.904</v>
      </c>
      <c r="U291" s="38">
        <f>IFERROR([@InspDone]/[@InspPlanned],0)</f>
        <v/>
      </c>
      <c r="V291" s="38">
        <f>IFERROR([@ObsClosed]/[@ObsRaised],0)</f>
        <v/>
      </c>
    </row>
    <row r="292">
      <c r="A292" s="33" t="n">
        <v>45901</v>
      </c>
      <c r="B292" s="28">
        <f>YEAR([@Period])</f>
        <v/>
      </c>
      <c r="C292" s="28">
        <f>TEXT([@Period],"mmm")</f>
        <v/>
      </c>
      <c r="D292" s="30">
        <f>MONTH([@Period])</f>
        <v/>
      </c>
      <c r="E292" s="28" t="inlineStr">
        <is>
          <t>Accommodation Camp</t>
        </is>
      </c>
      <c r="F292" s="28" t="inlineStr">
        <is>
          <t>Administration</t>
        </is>
      </c>
      <c r="G292" s="28" t="inlineStr">
        <is>
          <t>Catering Co (Camp)</t>
        </is>
      </c>
      <c r="H292" s="34" t="n">
        <v>6510</v>
      </c>
      <c r="I292" s="35" t="n">
        <v>3</v>
      </c>
      <c r="J292" s="35" t="n">
        <v>1</v>
      </c>
      <c r="K292" s="35" t="n">
        <v>2</v>
      </c>
      <c r="L292" s="35" t="n">
        <v>2</v>
      </c>
      <c r="M292" s="35" t="n">
        <v>2</v>
      </c>
      <c r="N292" s="35" t="n">
        <v>2</v>
      </c>
      <c r="O292" s="36" t="n">
        <v>0.895</v>
      </c>
      <c r="P292" s="35" t="n">
        <v>1</v>
      </c>
      <c r="Q292" s="35" t="n">
        <v>6</v>
      </c>
      <c r="R292" s="35" t="n">
        <v>5</v>
      </c>
      <c r="S292" s="35" t="n">
        <v>5</v>
      </c>
      <c r="T292" s="37" t="n">
        <v>0.969</v>
      </c>
      <c r="U292" s="38">
        <f>IFERROR([@InspDone]/[@InspPlanned],0)</f>
        <v/>
      </c>
      <c r="V292" s="38">
        <f>IFERROR([@ObsClosed]/[@ObsRaised],0)</f>
        <v/>
      </c>
    </row>
    <row r="293">
      <c r="A293" s="33" t="n">
        <v>45901</v>
      </c>
      <c r="B293" s="28">
        <f>YEAR([@Period])</f>
        <v/>
      </c>
      <c r="C293" s="28">
        <f>TEXT([@Period],"mmm")</f>
        <v/>
      </c>
      <c r="D293" s="30">
        <f>MONTH([@Period])</f>
        <v/>
      </c>
      <c r="E293" s="28" t="inlineStr">
        <is>
          <t>Security Gatehouse</t>
        </is>
      </c>
      <c r="F293" s="28" t="inlineStr">
        <is>
          <t>Security</t>
        </is>
      </c>
      <c r="G293" s="28" t="inlineStr">
        <is>
          <t>G4S (Security)</t>
        </is>
      </c>
      <c r="H293" s="34" t="n">
        <v>8955</v>
      </c>
      <c r="I293" s="35" t="n">
        <v>4</v>
      </c>
      <c r="J293" s="35" t="n">
        <v>1</v>
      </c>
      <c r="K293" s="35" t="n">
        <v>0</v>
      </c>
      <c r="L293" s="35" t="n">
        <v>0</v>
      </c>
      <c r="M293" s="35" t="n">
        <v>2</v>
      </c>
      <c r="N293" s="35" t="n">
        <v>2</v>
      </c>
      <c r="O293" s="36" t="n">
        <v>0.992</v>
      </c>
      <c r="P293" s="35" t="n">
        <v>1</v>
      </c>
      <c r="Q293" s="35" t="n">
        <v>0</v>
      </c>
      <c r="R293" s="35" t="n">
        <v>7</v>
      </c>
      <c r="S293" s="35" t="n">
        <v>7</v>
      </c>
      <c r="T293" s="37" t="n">
        <v>0.909</v>
      </c>
      <c r="U293" s="38">
        <f>IFERROR([@InspDone]/[@InspPlanned],0)</f>
        <v/>
      </c>
      <c r="V293" s="38">
        <f>IFERROR([@ObsClosed]/[@ObsRaised],0)</f>
        <v/>
      </c>
    </row>
    <row r="294">
      <c r="A294" s="33" t="n">
        <v>45931</v>
      </c>
      <c r="B294" s="28">
        <f>YEAR([@Period])</f>
        <v/>
      </c>
      <c r="C294" s="28">
        <f>TEXT([@Period],"mmm")</f>
        <v/>
      </c>
      <c r="D294" s="30">
        <f>MONTH([@Period])</f>
        <v/>
      </c>
      <c r="E294" s="28" t="inlineStr">
        <is>
          <t>Nkran Open Pit</t>
        </is>
      </c>
      <c r="F294" s="28" t="inlineStr">
        <is>
          <t>Mining</t>
        </is>
      </c>
      <c r="G294" s="28" t="inlineStr">
        <is>
          <t>AUMS (Mining Contractor)</t>
        </is>
      </c>
      <c r="H294" s="34" t="n">
        <v>26520</v>
      </c>
      <c r="I294" s="35" t="n">
        <v>2</v>
      </c>
      <c r="J294" s="35" t="n">
        <v>5</v>
      </c>
      <c r="K294" s="35" t="n">
        <v>10</v>
      </c>
      <c r="L294" s="35" t="n">
        <v>8</v>
      </c>
      <c r="M294" s="35" t="n">
        <v>6</v>
      </c>
      <c r="N294" s="35" t="n">
        <v>6</v>
      </c>
      <c r="O294" s="36" t="n">
        <v>0.983</v>
      </c>
      <c r="P294" s="35" t="n">
        <v>1</v>
      </c>
      <c r="Q294" s="35" t="n">
        <v>9</v>
      </c>
      <c r="R294" s="35" t="n">
        <v>20</v>
      </c>
      <c r="S294" s="35" t="n">
        <v>18</v>
      </c>
      <c r="T294" s="37" t="n">
        <v>0.955</v>
      </c>
      <c r="U294" s="38">
        <f>IFERROR([@InspDone]/[@InspPlanned],0)</f>
        <v/>
      </c>
      <c r="V294" s="38">
        <f>IFERROR([@ObsClosed]/[@ObsRaised],0)</f>
        <v/>
      </c>
    </row>
    <row r="295">
      <c r="A295" s="33" t="n">
        <v>45931</v>
      </c>
      <c r="B295" s="28">
        <f>YEAR([@Period])</f>
        <v/>
      </c>
      <c r="C295" s="28">
        <f>TEXT([@Period],"mmm")</f>
        <v/>
      </c>
      <c r="D295" s="30">
        <f>MONTH([@Period])</f>
        <v/>
      </c>
      <c r="E295" s="28" t="inlineStr">
        <is>
          <t>Esaase Open Pit</t>
        </is>
      </c>
      <c r="F295" s="28" t="inlineStr">
        <is>
          <t>Mining</t>
        </is>
      </c>
      <c r="G295" s="28" t="inlineStr">
        <is>
          <t>AUMS (Mining Contractor)</t>
        </is>
      </c>
      <c r="H295" s="34" t="n">
        <v>20680</v>
      </c>
      <c r="I295" s="35" t="n">
        <v>6</v>
      </c>
      <c r="J295" s="35" t="n">
        <v>5</v>
      </c>
      <c r="K295" s="35" t="n">
        <v>9</v>
      </c>
      <c r="L295" s="35" t="n">
        <v>7</v>
      </c>
      <c r="M295" s="35" t="n">
        <v>6</v>
      </c>
      <c r="N295" s="35" t="n">
        <v>5</v>
      </c>
      <c r="O295" s="36" t="n">
        <v>0.911</v>
      </c>
      <c r="P295" s="35" t="n">
        <v>0</v>
      </c>
      <c r="Q295" s="35" t="n">
        <v>4</v>
      </c>
      <c r="R295" s="35" t="n">
        <v>18</v>
      </c>
      <c r="S295" s="35" t="n">
        <v>18</v>
      </c>
      <c r="T295" s="37" t="n">
        <v>0.966</v>
      </c>
      <c r="U295" s="38">
        <f>IFERROR([@InspDone]/[@InspPlanned],0)</f>
        <v/>
      </c>
      <c r="V295" s="38">
        <f>IFERROR([@ObsClosed]/[@ObsRaised],0)</f>
        <v/>
      </c>
    </row>
    <row r="296">
      <c r="A296" s="33" t="n">
        <v>45931</v>
      </c>
      <c r="B296" s="28">
        <f>YEAR([@Period])</f>
        <v/>
      </c>
      <c r="C296" s="28">
        <f>TEXT([@Period],"mmm")</f>
        <v/>
      </c>
      <c r="D296" s="30">
        <f>MONTH([@Period])</f>
        <v/>
      </c>
      <c r="E296" s="28" t="inlineStr">
        <is>
          <t>Drill &amp; Blast</t>
        </is>
      </c>
      <c r="F296" s="28" t="inlineStr">
        <is>
          <t>Mining</t>
        </is>
      </c>
      <c r="G296" s="28" t="inlineStr">
        <is>
          <t>Maxam (Blasting)</t>
        </is>
      </c>
      <c r="H296" s="34" t="n">
        <v>8240</v>
      </c>
      <c r="I296" s="35" t="n">
        <v>3</v>
      </c>
      <c r="J296" s="35" t="n">
        <v>1</v>
      </c>
      <c r="K296" s="35" t="n">
        <v>4</v>
      </c>
      <c r="L296" s="35" t="n">
        <v>4</v>
      </c>
      <c r="M296" s="35" t="n">
        <v>2</v>
      </c>
      <c r="N296" s="35" t="n">
        <v>2</v>
      </c>
      <c r="O296" s="36" t="n">
        <v>0.976</v>
      </c>
      <c r="P296" s="35" t="n">
        <v>1</v>
      </c>
      <c r="Q296" s="35" t="n">
        <v>5</v>
      </c>
      <c r="R296" s="35" t="n">
        <v>6</v>
      </c>
      <c r="S296" s="35" t="n">
        <v>6</v>
      </c>
      <c r="T296" s="37" t="n">
        <v>0.919</v>
      </c>
      <c r="U296" s="38">
        <f>IFERROR([@InspDone]/[@InspPlanned],0)</f>
        <v/>
      </c>
      <c r="V296" s="38">
        <f>IFERROR([@ObsClosed]/[@ObsRaised],0)</f>
        <v/>
      </c>
    </row>
    <row r="297">
      <c r="A297" s="33" t="n">
        <v>45931</v>
      </c>
      <c r="B297" s="28">
        <f>YEAR([@Period])</f>
        <v/>
      </c>
      <c r="C297" s="28">
        <f>TEXT([@Period],"mmm")</f>
        <v/>
      </c>
      <c r="D297" s="30">
        <f>MONTH([@Period])</f>
        <v/>
      </c>
      <c r="E297" s="28" t="inlineStr">
        <is>
          <t>Haul Roads</t>
        </is>
      </c>
      <c r="F297" s="28" t="inlineStr">
        <is>
          <t>Mining</t>
        </is>
      </c>
      <c r="G297" s="28" t="inlineStr">
        <is>
          <t>AUMS (Mining Contractor)</t>
        </is>
      </c>
      <c r="H297" s="34" t="n">
        <v>11940</v>
      </c>
      <c r="I297" s="35" t="n">
        <v>5</v>
      </c>
      <c r="J297" s="35" t="n">
        <v>1</v>
      </c>
      <c r="K297" s="35" t="n">
        <v>1</v>
      </c>
      <c r="L297" s="35" t="n">
        <v>1</v>
      </c>
      <c r="M297" s="35" t="n">
        <v>3</v>
      </c>
      <c r="N297" s="35" t="n">
        <v>3</v>
      </c>
      <c r="O297" s="36" t="n">
        <v>0.887</v>
      </c>
      <c r="P297" s="35" t="n">
        <v>0</v>
      </c>
      <c r="Q297" s="35" t="n">
        <v>4</v>
      </c>
      <c r="R297" s="35" t="n">
        <v>10</v>
      </c>
      <c r="S297" s="35" t="n">
        <v>9</v>
      </c>
      <c r="T297" s="37" t="n">
        <v>0.995</v>
      </c>
      <c r="U297" s="38">
        <f>IFERROR([@InspDone]/[@InspPlanned],0)</f>
        <v/>
      </c>
      <c r="V297" s="38">
        <f>IFERROR([@ObsClosed]/[@ObsRaised],0)</f>
        <v/>
      </c>
    </row>
    <row r="298">
      <c r="A298" s="33" t="n">
        <v>45931</v>
      </c>
      <c r="B298" s="28">
        <f>YEAR([@Period])</f>
        <v/>
      </c>
      <c r="C298" s="28">
        <f>TEXT([@Period],"mmm")</f>
        <v/>
      </c>
      <c r="D298" s="30">
        <f>MONTH([@Period])</f>
        <v/>
      </c>
      <c r="E298" s="28" t="inlineStr">
        <is>
          <t>Explosives Magazine</t>
        </is>
      </c>
      <c r="F298" s="28" t="inlineStr">
        <is>
          <t>Mining</t>
        </is>
      </c>
      <c r="G298" s="28" t="inlineStr">
        <is>
          <t>Maxam (Blasting)</t>
        </is>
      </c>
      <c r="H298" s="34" t="n">
        <v>3120</v>
      </c>
      <c r="I298" s="35" t="n">
        <v>1</v>
      </c>
      <c r="J298" s="35" t="n">
        <v>2</v>
      </c>
      <c r="K298" s="35" t="n">
        <v>2</v>
      </c>
      <c r="L298" s="35" t="n">
        <v>2</v>
      </c>
      <c r="M298" s="35" t="n">
        <v>2</v>
      </c>
      <c r="N298" s="35" t="n">
        <v>2</v>
      </c>
      <c r="O298" s="36" t="n">
        <v>0.99</v>
      </c>
      <c r="P298" s="35" t="n">
        <v>1</v>
      </c>
      <c r="Q298" s="35" t="n">
        <v>3</v>
      </c>
      <c r="R298" s="35" t="n">
        <v>3</v>
      </c>
      <c r="S298" s="35" t="n">
        <v>3</v>
      </c>
      <c r="T298" s="37" t="n">
        <v>0.982</v>
      </c>
      <c r="U298" s="38">
        <f>IFERROR([@InspDone]/[@InspPlanned],0)</f>
        <v/>
      </c>
      <c r="V298" s="38">
        <f>IFERROR([@ObsClosed]/[@ObsRaised],0)</f>
        <v/>
      </c>
    </row>
    <row r="299">
      <c r="A299" s="33" t="n">
        <v>45931</v>
      </c>
      <c r="B299" s="28">
        <f>YEAR([@Period])</f>
        <v/>
      </c>
      <c r="C299" s="28">
        <f>TEXT([@Period],"mmm")</f>
        <v/>
      </c>
      <c r="D299" s="30">
        <f>MONTH([@Period])</f>
        <v/>
      </c>
      <c r="E299" s="28" t="inlineStr">
        <is>
          <t>Crushing Circuit</t>
        </is>
      </c>
      <c r="F299" s="28" t="inlineStr">
        <is>
          <t>Processing</t>
        </is>
      </c>
      <c r="G299" s="28" t="inlineStr">
        <is>
          <t>Owner (Asanko)</t>
        </is>
      </c>
      <c r="H299" s="34" t="n">
        <v>7035</v>
      </c>
      <c r="I299" s="35" t="n">
        <v>2</v>
      </c>
      <c r="J299" s="35" t="n">
        <v>1</v>
      </c>
      <c r="K299" s="35" t="n">
        <v>2</v>
      </c>
      <c r="L299" s="35" t="n">
        <v>2</v>
      </c>
      <c r="M299" s="35" t="n">
        <v>2</v>
      </c>
      <c r="N299" s="35" t="n">
        <v>2</v>
      </c>
      <c r="O299" s="36" t="n">
        <v>0.929</v>
      </c>
      <c r="P299" s="35" t="n">
        <v>0</v>
      </c>
      <c r="Q299" s="35" t="n">
        <v>5</v>
      </c>
      <c r="R299" s="35" t="n">
        <v>5</v>
      </c>
      <c r="S299" s="35" t="n">
        <v>5</v>
      </c>
      <c r="T299" s="37" t="n">
        <v>0.967</v>
      </c>
      <c r="U299" s="38">
        <f>IFERROR([@InspDone]/[@InspPlanned],0)</f>
        <v/>
      </c>
      <c r="V299" s="38">
        <f>IFERROR([@ObsClosed]/[@ObsRaised],0)</f>
        <v/>
      </c>
    </row>
    <row r="300">
      <c r="A300" s="33" t="n">
        <v>45931</v>
      </c>
      <c r="B300" s="28">
        <f>YEAR([@Period])</f>
        <v/>
      </c>
      <c r="C300" s="28">
        <f>TEXT([@Period],"mmm")</f>
        <v/>
      </c>
      <c r="D300" s="30">
        <f>MONTH([@Period])</f>
        <v/>
      </c>
      <c r="E300" s="28" t="inlineStr">
        <is>
          <t>Processing Plant (CIL)</t>
        </is>
      </c>
      <c r="F300" s="28" t="inlineStr">
        <is>
          <t>Processing</t>
        </is>
      </c>
      <c r="G300" s="28" t="inlineStr">
        <is>
          <t>Owner (Asanko)</t>
        </is>
      </c>
      <c r="H300" s="34" t="n">
        <v>17550</v>
      </c>
      <c r="I300" s="35" t="n">
        <v>9</v>
      </c>
      <c r="J300" s="35" t="n">
        <v>5</v>
      </c>
      <c r="K300" s="35" t="n">
        <v>5</v>
      </c>
      <c r="L300" s="35" t="n">
        <v>5</v>
      </c>
      <c r="M300" s="35" t="n">
        <v>5</v>
      </c>
      <c r="N300" s="35" t="n">
        <v>5</v>
      </c>
      <c r="O300" s="36" t="n">
        <v>0.921</v>
      </c>
      <c r="P300" s="35" t="n">
        <v>1</v>
      </c>
      <c r="Q300" s="35" t="n">
        <v>5</v>
      </c>
      <c r="R300" s="35" t="n">
        <v>15</v>
      </c>
      <c r="S300" s="35" t="n">
        <v>14</v>
      </c>
      <c r="T300" s="37" t="n">
        <v>0.963</v>
      </c>
      <c r="U300" s="38">
        <f>IFERROR([@InspDone]/[@InspPlanned],0)</f>
        <v/>
      </c>
      <c r="V300" s="38">
        <f>IFERROR([@ObsClosed]/[@ObsRaised],0)</f>
        <v/>
      </c>
    </row>
    <row r="301">
      <c r="A301" s="33" t="n">
        <v>45931</v>
      </c>
      <c r="B301" s="28">
        <f>YEAR([@Period])</f>
        <v/>
      </c>
      <c r="C301" s="28">
        <f>TEXT([@Period],"mmm")</f>
        <v/>
      </c>
      <c r="D301" s="30">
        <f>MONTH([@Period])</f>
        <v/>
      </c>
      <c r="E301" s="28" t="inlineStr">
        <is>
          <t>Elution &amp; Gold Room</t>
        </is>
      </c>
      <c r="F301" s="28" t="inlineStr">
        <is>
          <t>Processing</t>
        </is>
      </c>
      <c r="G301" s="28" t="inlineStr">
        <is>
          <t>Owner (Asanko)</t>
        </is>
      </c>
      <c r="H301" s="34" t="n">
        <v>3960</v>
      </c>
      <c r="I301" s="35" t="n">
        <v>0</v>
      </c>
      <c r="J301" s="35" t="n">
        <v>1</v>
      </c>
      <c r="K301" s="35" t="n">
        <v>1</v>
      </c>
      <c r="L301" s="35" t="n">
        <v>1</v>
      </c>
      <c r="M301" s="35" t="n">
        <v>2</v>
      </c>
      <c r="N301" s="35" t="n">
        <v>2</v>
      </c>
      <c r="O301" s="36" t="n">
        <v>0.911</v>
      </c>
      <c r="P301" s="35" t="n">
        <v>0</v>
      </c>
      <c r="Q301" s="35" t="n">
        <v>4</v>
      </c>
      <c r="R301" s="35" t="n">
        <v>3</v>
      </c>
      <c r="S301" s="35" t="n">
        <v>3</v>
      </c>
      <c r="T301" s="37" t="n">
        <v>0.965</v>
      </c>
      <c r="U301" s="38">
        <f>IFERROR([@InspDone]/[@InspPlanned],0)</f>
        <v/>
      </c>
      <c r="V301" s="38">
        <f>IFERROR([@ObsClosed]/[@ObsRaised],0)</f>
        <v/>
      </c>
    </row>
    <row r="302">
      <c r="A302" s="33" t="n">
        <v>45931</v>
      </c>
      <c r="B302" s="28">
        <f>YEAR([@Period])</f>
        <v/>
      </c>
      <c r="C302" s="28">
        <f>TEXT([@Period],"mmm")</f>
        <v/>
      </c>
      <c r="D302" s="30">
        <f>MONTH([@Period])</f>
        <v/>
      </c>
      <c r="E302" s="28" t="inlineStr">
        <is>
          <t>Tailings Storage Facility</t>
        </is>
      </c>
      <c r="F302" s="28" t="inlineStr">
        <is>
          <t>Environment</t>
        </is>
      </c>
      <c r="G302" s="28" t="inlineStr">
        <is>
          <t>Owner (Asanko)</t>
        </is>
      </c>
      <c r="H302" s="34" t="n">
        <v>3942</v>
      </c>
      <c r="I302" s="35" t="n">
        <v>1</v>
      </c>
      <c r="J302" s="35" t="n">
        <v>0</v>
      </c>
      <c r="K302" s="35" t="n">
        <v>3</v>
      </c>
      <c r="L302" s="35" t="n">
        <v>2</v>
      </c>
      <c r="M302" s="35" t="n">
        <v>2</v>
      </c>
      <c r="N302" s="35" t="n">
        <v>2</v>
      </c>
      <c r="O302" s="36" t="n">
        <v>0.952</v>
      </c>
      <c r="P302" s="35" t="n">
        <v>1</v>
      </c>
      <c r="Q302" s="35" t="n">
        <v>4</v>
      </c>
      <c r="R302" s="35" t="n">
        <v>3</v>
      </c>
      <c r="S302" s="35" t="n">
        <v>3</v>
      </c>
      <c r="T302" s="37" t="n">
        <v>0.963</v>
      </c>
      <c r="U302" s="38">
        <f>IFERROR([@InspDone]/[@InspPlanned],0)</f>
        <v/>
      </c>
      <c r="V302" s="38">
        <f>IFERROR([@ObsClosed]/[@ObsRaised],0)</f>
        <v/>
      </c>
    </row>
    <row r="303">
      <c r="A303" s="33" t="n">
        <v>45931</v>
      </c>
      <c r="B303" s="28">
        <f>YEAR([@Period])</f>
        <v/>
      </c>
      <c r="C303" s="28">
        <f>TEXT([@Period],"mmm")</f>
        <v/>
      </c>
      <c r="D303" s="30">
        <f>MONTH([@Period])</f>
        <v/>
      </c>
      <c r="E303" s="28" t="inlineStr">
        <is>
          <t>Water Treatment</t>
        </is>
      </c>
      <c r="F303" s="28" t="inlineStr">
        <is>
          <t>Environment</t>
        </is>
      </c>
      <c r="G303" s="28" t="inlineStr">
        <is>
          <t>Owner (Asanko)</t>
        </is>
      </c>
      <c r="H303" s="34" t="n">
        <v>2688</v>
      </c>
      <c r="I303" s="35" t="n">
        <v>0</v>
      </c>
      <c r="J303" s="35" t="n">
        <v>0</v>
      </c>
      <c r="K303" s="35" t="n">
        <v>1</v>
      </c>
      <c r="L303" s="35" t="n">
        <v>1</v>
      </c>
      <c r="M303" s="35" t="n">
        <v>2</v>
      </c>
      <c r="N303" s="35" t="n">
        <v>2</v>
      </c>
      <c r="O303" s="36" t="n">
        <v>0.956</v>
      </c>
      <c r="P303" s="35" t="n">
        <v>1</v>
      </c>
      <c r="Q303" s="35" t="n">
        <v>0</v>
      </c>
      <c r="R303" s="35" t="n">
        <v>3</v>
      </c>
      <c r="S303" s="35" t="n">
        <v>3</v>
      </c>
      <c r="T303" s="37" t="n">
        <v>0.918</v>
      </c>
      <c r="U303" s="38">
        <f>IFERROR([@InspDone]/[@InspPlanned],0)</f>
        <v/>
      </c>
      <c r="V303" s="38">
        <f>IFERROR([@ObsClosed]/[@ObsRaised],0)</f>
        <v/>
      </c>
    </row>
    <row r="304">
      <c r="A304" s="33" t="n">
        <v>45931</v>
      </c>
      <c r="B304" s="28">
        <f>YEAR([@Period])</f>
        <v/>
      </c>
      <c r="C304" s="28">
        <f>TEXT([@Period],"mmm")</f>
        <v/>
      </c>
      <c r="D304" s="30">
        <f>MONTH([@Period])</f>
        <v/>
      </c>
      <c r="E304" s="28" t="inlineStr">
        <is>
          <t>Assay Laboratory</t>
        </is>
      </c>
      <c r="F304" s="28" t="inlineStr">
        <is>
          <t>Laboratory</t>
        </is>
      </c>
      <c r="G304" s="28" t="inlineStr">
        <is>
          <t>SGS (Laboratory)</t>
        </is>
      </c>
      <c r="H304" s="34" t="n">
        <v>5550</v>
      </c>
      <c r="I304" s="35" t="n">
        <v>1</v>
      </c>
      <c r="J304" s="35" t="n">
        <v>0</v>
      </c>
      <c r="K304" s="35" t="n">
        <v>1</v>
      </c>
      <c r="L304" s="35" t="n">
        <v>1</v>
      </c>
      <c r="M304" s="35" t="n">
        <v>2</v>
      </c>
      <c r="N304" s="35" t="n">
        <v>2</v>
      </c>
      <c r="O304" s="36" t="n">
        <v>0.922</v>
      </c>
      <c r="P304" s="35" t="n">
        <v>0</v>
      </c>
      <c r="Q304" s="35" t="n">
        <v>4</v>
      </c>
      <c r="R304" s="35" t="n">
        <v>4</v>
      </c>
      <c r="S304" s="35" t="n">
        <v>4</v>
      </c>
      <c r="T304" s="37" t="n">
        <v>0.978</v>
      </c>
      <c r="U304" s="38">
        <f>IFERROR([@InspDone]/[@InspPlanned],0)</f>
        <v/>
      </c>
      <c r="V304" s="38">
        <f>IFERROR([@ObsClosed]/[@ObsRaised],0)</f>
        <v/>
      </c>
    </row>
    <row r="305">
      <c r="A305" s="33" t="n">
        <v>45931</v>
      </c>
      <c r="B305" s="28">
        <f>YEAR([@Period])</f>
        <v/>
      </c>
      <c r="C305" s="28">
        <f>TEXT([@Period],"mmm")</f>
        <v/>
      </c>
      <c r="D305" s="30">
        <f>MONTH([@Period])</f>
        <v/>
      </c>
      <c r="E305" s="28" t="inlineStr">
        <is>
          <t>HME Workshop</t>
        </is>
      </c>
      <c r="F305" s="28" t="inlineStr">
        <is>
          <t>Engineering</t>
        </is>
      </c>
      <c r="G305" s="28" t="inlineStr">
        <is>
          <t>Owner (Asanko)</t>
        </is>
      </c>
      <c r="H305" s="34" t="n">
        <v>9955</v>
      </c>
      <c r="I305" s="35" t="n">
        <v>4</v>
      </c>
      <c r="J305" s="35" t="n">
        <v>3</v>
      </c>
      <c r="K305" s="35" t="n">
        <v>4</v>
      </c>
      <c r="L305" s="35" t="n">
        <v>3</v>
      </c>
      <c r="M305" s="35" t="n">
        <v>3</v>
      </c>
      <c r="N305" s="35" t="n">
        <v>3</v>
      </c>
      <c r="O305" s="36" t="n">
        <v>0.975</v>
      </c>
      <c r="P305" s="35" t="n">
        <v>0</v>
      </c>
      <c r="Q305" s="35" t="n">
        <v>3</v>
      </c>
      <c r="R305" s="35" t="n">
        <v>9</v>
      </c>
      <c r="S305" s="35" t="n">
        <v>8</v>
      </c>
      <c r="T305" s="37" t="n">
        <v>0.955</v>
      </c>
      <c r="U305" s="38">
        <f>IFERROR([@InspDone]/[@InspPlanned],0)</f>
        <v/>
      </c>
      <c r="V305" s="38">
        <f>IFERROR([@ObsClosed]/[@ObsRaised],0)</f>
        <v/>
      </c>
    </row>
    <row r="306">
      <c r="A306" s="33" t="n">
        <v>45931</v>
      </c>
      <c r="B306" s="28">
        <f>YEAR([@Period])</f>
        <v/>
      </c>
      <c r="C306" s="28">
        <f>TEXT([@Period],"mmm")</f>
        <v/>
      </c>
      <c r="D306" s="30">
        <f>MONTH([@Period])</f>
        <v/>
      </c>
      <c r="E306" s="28" t="inlineStr">
        <is>
          <t>Fuel Farm</t>
        </is>
      </c>
      <c r="F306" s="28" t="inlineStr">
        <is>
          <t>Engineering</t>
        </is>
      </c>
      <c r="G306" s="28" t="inlineStr">
        <is>
          <t>Owner (Asanko)</t>
        </is>
      </c>
      <c r="H306" s="34" t="n">
        <v>1980</v>
      </c>
      <c r="I306" s="35" t="n">
        <v>0</v>
      </c>
      <c r="J306" s="35" t="n">
        <v>2</v>
      </c>
      <c r="K306" s="35" t="n">
        <v>2</v>
      </c>
      <c r="L306" s="35" t="n">
        <v>2</v>
      </c>
      <c r="M306" s="35" t="n">
        <v>2</v>
      </c>
      <c r="N306" s="35" t="n">
        <v>2</v>
      </c>
      <c r="O306" s="36" t="n">
        <v>0.95</v>
      </c>
      <c r="P306" s="35" t="n">
        <v>1</v>
      </c>
      <c r="Q306" s="35" t="n">
        <v>2</v>
      </c>
      <c r="R306" s="35" t="n">
        <v>3</v>
      </c>
      <c r="S306" s="35" t="n">
        <v>3</v>
      </c>
      <c r="T306" s="37" t="n">
        <v>0.896</v>
      </c>
      <c r="U306" s="38">
        <f>IFERROR([@InspDone]/[@InspPlanned],0)</f>
        <v/>
      </c>
      <c r="V306" s="38">
        <f>IFERROR([@ObsClosed]/[@ObsRaised],0)</f>
        <v/>
      </c>
    </row>
    <row r="307">
      <c r="A307" s="33" t="n">
        <v>45931</v>
      </c>
      <c r="B307" s="28">
        <f>YEAR([@Period])</f>
        <v/>
      </c>
      <c r="C307" s="28">
        <f>TEXT([@Period],"mmm")</f>
        <v/>
      </c>
      <c r="D307" s="30">
        <f>MONTH([@Period])</f>
        <v/>
      </c>
      <c r="E307" s="28" t="inlineStr">
        <is>
          <t>Power Station</t>
        </is>
      </c>
      <c r="F307" s="28" t="inlineStr">
        <is>
          <t>Engineering</t>
        </is>
      </c>
      <c r="G307" s="28" t="inlineStr">
        <is>
          <t>Genser (Power)</t>
        </is>
      </c>
      <c r="H307" s="34" t="n">
        <v>4114</v>
      </c>
      <c r="I307" s="35" t="n">
        <v>2</v>
      </c>
      <c r="J307" s="35" t="n">
        <v>1</v>
      </c>
      <c r="K307" s="35" t="n">
        <v>1</v>
      </c>
      <c r="L307" s="35" t="n">
        <v>1</v>
      </c>
      <c r="M307" s="35" t="n">
        <v>2</v>
      </c>
      <c r="N307" s="35" t="n">
        <v>2</v>
      </c>
      <c r="O307" s="36" t="n">
        <v>0.954</v>
      </c>
      <c r="P307" s="35" t="n">
        <v>1</v>
      </c>
      <c r="Q307" s="35" t="n">
        <v>2</v>
      </c>
      <c r="R307" s="35" t="n">
        <v>3</v>
      </c>
      <c r="S307" s="35" t="n">
        <v>3</v>
      </c>
      <c r="T307" s="37" t="n">
        <v>0.957</v>
      </c>
      <c r="U307" s="38">
        <f>IFERROR([@InspDone]/[@InspPlanned],0)</f>
        <v/>
      </c>
      <c r="V307" s="38">
        <f>IFERROR([@ObsClosed]/[@ObsRaised],0)</f>
        <v/>
      </c>
    </row>
    <row r="308">
      <c r="A308" s="33" t="n">
        <v>45931</v>
      </c>
      <c r="B308" s="28">
        <f>YEAR([@Period])</f>
        <v/>
      </c>
      <c r="C308" s="28">
        <f>TEXT([@Period],"mmm")</f>
        <v/>
      </c>
      <c r="D308" s="30">
        <f>MONTH([@Period])</f>
        <v/>
      </c>
      <c r="E308" s="28" t="inlineStr">
        <is>
          <t>Warehouse &amp; Stores</t>
        </is>
      </c>
      <c r="F308" s="28" t="inlineStr">
        <is>
          <t>Logistics</t>
        </is>
      </c>
      <c r="G308" s="28" t="inlineStr">
        <is>
          <t>Owner (Asanko)</t>
        </is>
      </c>
      <c r="H308" s="34" t="n">
        <v>4560</v>
      </c>
      <c r="I308" s="35" t="n">
        <v>2</v>
      </c>
      <c r="J308" s="35" t="n">
        <v>1</v>
      </c>
      <c r="K308" s="35" t="n">
        <v>0</v>
      </c>
      <c r="L308" s="35" t="n">
        <v>0</v>
      </c>
      <c r="M308" s="35" t="n">
        <v>2</v>
      </c>
      <c r="N308" s="35" t="n">
        <v>2</v>
      </c>
      <c r="O308" s="36" t="n">
        <v>0.925</v>
      </c>
      <c r="P308" s="35" t="n">
        <v>0</v>
      </c>
      <c r="Q308" s="35" t="n">
        <v>2</v>
      </c>
      <c r="R308" s="35" t="n">
        <v>4</v>
      </c>
      <c r="S308" s="35" t="n">
        <v>4</v>
      </c>
      <c r="T308" s="37" t="n">
        <v>0.917</v>
      </c>
      <c r="U308" s="38">
        <f>IFERROR([@InspDone]/[@InspPlanned],0)</f>
        <v/>
      </c>
      <c r="V308" s="38">
        <f>IFERROR([@ObsClosed]/[@ObsRaised],0)</f>
        <v/>
      </c>
    </row>
    <row r="309">
      <c r="A309" s="33" t="n">
        <v>45931</v>
      </c>
      <c r="B309" s="28">
        <f>YEAR([@Period])</f>
        <v/>
      </c>
      <c r="C309" s="28">
        <f>TEXT([@Period],"mmm")</f>
        <v/>
      </c>
      <c r="D309" s="30">
        <f>MONTH([@Period])</f>
        <v/>
      </c>
      <c r="E309" s="28" t="inlineStr">
        <is>
          <t>Administration</t>
        </is>
      </c>
      <c r="F309" s="28" t="inlineStr">
        <is>
          <t>Administration</t>
        </is>
      </c>
      <c r="G309" s="28" t="inlineStr">
        <is>
          <t>Owner (Asanko)</t>
        </is>
      </c>
      <c r="H309" s="34" t="n">
        <v>12540</v>
      </c>
      <c r="I309" s="35" t="n">
        <v>4</v>
      </c>
      <c r="J309" s="35" t="n">
        <v>0</v>
      </c>
      <c r="K309" s="35" t="n">
        <v>7</v>
      </c>
      <c r="L309" s="35" t="n">
        <v>6</v>
      </c>
      <c r="M309" s="35" t="n">
        <v>3</v>
      </c>
      <c r="N309" s="35" t="n">
        <v>3</v>
      </c>
      <c r="O309" s="36" t="n">
        <v>0.922</v>
      </c>
      <c r="P309" s="35" t="n">
        <v>0</v>
      </c>
      <c r="Q309" s="35" t="n">
        <v>8</v>
      </c>
      <c r="R309" s="35" t="n">
        <v>10</v>
      </c>
      <c r="S309" s="35" t="n">
        <v>10</v>
      </c>
      <c r="T309" s="37" t="n">
        <v>0.887</v>
      </c>
      <c r="U309" s="38">
        <f>IFERROR([@InspDone]/[@InspPlanned],0)</f>
        <v/>
      </c>
      <c r="V309" s="38">
        <f>IFERROR([@ObsClosed]/[@ObsRaised],0)</f>
        <v/>
      </c>
    </row>
    <row r="310">
      <c r="A310" s="33" t="n">
        <v>45931</v>
      </c>
      <c r="B310" s="28">
        <f>YEAR([@Period])</f>
        <v/>
      </c>
      <c r="C310" s="28">
        <f>TEXT([@Period],"mmm")</f>
        <v/>
      </c>
      <c r="D310" s="30">
        <f>MONTH([@Period])</f>
        <v/>
      </c>
      <c r="E310" s="28" t="inlineStr">
        <is>
          <t>Accommodation Camp</t>
        </is>
      </c>
      <c r="F310" s="28" t="inlineStr">
        <is>
          <t>Administration</t>
        </is>
      </c>
      <c r="G310" s="28" t="inlineStr">
        <is>
          <t>Catering Co (Camp)</t>
        </is>
      </c>
      <c r="H310" s="34" t="n">
        <v>5910</v>
      </c>
      <c r="I310" s="35" t="n">
        <v>1</v>
      </c>
      <c r="J310" s="35" t="n">
        <v>1</v>
      </c>
      <c r="K310" s="35" t="n">
        <v>1</v>
      </c>
      <c r="L310" s="35" t="n">
        <v>1</v>
      </c>
      <c r="M310" s="35" t="n">
        <v>2</v>
      </c>
      <c r="N310" s="35" t="n">
        <v>2</v>
      </c>
      <c r="O310" s="36" t="n">
        <v>0.946</v>
      </c>
      <c r="P310" s="35" t="n">
        <v>0</v>
      </c>
      <c r="Q310" s="35" t="n">
        <v>3</v>
      </c>
      <c r="R310" s="35" t="n">
        <v>5</v>
      </c>
      <c r="S310" s="35" t="n">
        <v>5</v>
      </c>
      <c r="T310" s="37" t="n">
        <v>0.959</v>
      </c>
      <c r="U310" s="38">
        <f>IFERROR([@InspDone]/[@InspPlanned],0)</f>
        <v/>
      </c>
      <c r="V310" s="38">
        <f>IFERROR([@ObsClosed]/[@ObsRaised],0)</f>
        <v/>
      </c>
    </row>
    <row r="311">
      <c r="A311" s="33" t="n">
        <v>45931</v>
      </c>
      <c r="B311" s="28">
        <f>YEAR([@Period])</f>
        <v/>
      </c>
      <c r="C311" s="28">
        <f>TEXT([@Period],"mmm")</f>
        <v/>
      </c>
      <c r="D311" s="30">
        <f>MONTH([@Period])</f>
        <v/>
      </c>
      <c r="E311" s="28" t="inlineStr">
        <is>
          <t>Security Gatehouse</t>
        </is>
      </c>
      <c r="F311" s="28" t="inlineStr">
        <is>
          <t>Security</t>
        </is>
      </c>
      <c r="G311" s="28" t="inlineStr">
        <is>
          <t>G4S (Security)</t>
        </is>
      </c>
      <c r="H311" s="34" t="n">
        <v>9360</v>
      </c>
      <c r="I311" s="35" t="n">
        <v>3</v>
      </c>
      <c r="J311" s="35" t="n">
        <v>0</v>
      </c>
      <c r="K311" s="35" t="n">
        <v>6</v>
      </c>
      <c r="L311" s="35" t="n">
        <v>6</v>
      </c>
      <c r="M311" s="35" t="n">
        <v>2</v>
      </c>
      <c r="N311" s="35" t="n">
        <v>2</v>
      </c>
      <c r="O311" s="36" t="n">
        <v>0.897</v>
      </c>
      <c r="P311" s="35" t="n">
        <v>0</v>
      </c>
      <c r="Q311" s="35" t="n">
        <v>4</v>
      </c>
      <c r="R311" s="35" t="n">
        <v>7</v>
      </c>
      <c r="S311" s="35" t="n">
        <v>7</v>
      </c>
      <c r="T311" s="37" t="n">
        <v>0.993</v>
      </c>
      <c r="U311" s="38">
        <f>IFERROR([@InspDone]/[@InspPlanned],0)</f>
        <v/>
      </c>
      <c r="V311" s="38">
        <f>IFERROR([@ObsClosed]/[@ObsRaised],0)</f>
        <v/>
      </c>
    </row>
    <row r="312">
      <c r="A312" s="33" t="n">
        <v>45962</v>
      </c>
      <c r="B312" s="28">
        <f>YEAR([@Period])</f>
        <v/>
      </c>
      <c r="C312" s="28">
        <f>TEXT([@Period],"mmm")</f>
        <v/>
      </c>
      <c r="D312" s="30">
        <f>MONTH([@Period])</f>
        <v/>
      </c>
      <c r="E312" s="28" t="inlineStr">
        <is>
          <t>Nkran Open Pit</t>
        </is>
      </c>
      <c r="F312" s="28" t="inlineStr">
        <is>
          <t>Mining</t>
        </is>
      </c>
      <c r="G312" s="28" t="inlineStr">
        <is>
          <t>AUMS (Mining Contractor)</t>
        </is>
      </c>
      <c r="H312" s="34" t="n">
        <v>22800</v>
      </c>
      <c r="I312" s="35" t="n">
        <v>4</v>
      </c>
      <c r="J312" s="35" t="n">
        <v>2</v>
      </c>
      <c r="K312" s="35" t="n">
        <v>7</v>
      </c>
      <c r="L312" s="35" t="n">
        <v>7</v>
      </c>
      <c r="M312" s="35" t="n">
        <v>6</v>
      </c>
      <c r="N312" s="35" t="n">
        <v>6</v>
      </c>
      <c r="O312" s="36" t="n">
        <v>0.925</v>
      </c>
      <c r="P312" s="35" t="n">
        <v>0</v>
      </c>
      <c r="Q312" s="35" t="n">
        <v>15</v>
      </c>
      <c r="R312" s="35" t="n">
        <v>20</v>
      </c>
      <c r="S312" s="35" t="n">
        <v>19</v>
      </c>
      <c r="T312" s="37" t="n">
        <v>0.919</v>
      </c>
      <c r="U312" s="38">
        <f>IFERROR([@InspDone]/[@InspPlanned],0)</f>
        <v/>
      </c>
      <c r="V312" s="38">
        <f>IFERROR([@ObsClosed]/[@ObsRaised],0)</f>
        <v/>
      </c>
    </row>
    <row r="313">
      <c r="A313" s="33" t="n">
        <v>45962</v>
      </c>
      <c r="B313" s="28">
        <f>YEAR([@Period])</f>
        <v/>
      </c>
      <c r="C313" s="28">
        <f>TEXT([@Period],"mmm")</f>
        <v/>
      </c>
      <c r="D313" s="30">
        <f>MONTH([@Period])</f>
        <v/>
      </c>
      <c r="E313" s="28" t="inlineStr">
        <is>
          <t>Esaase Open Pit</t>
        </is>
      </c>
      <c r="F313" s="28" t="inlineStr">
        <is>
          <t>Mining</t>
        </is>
      </c>
      <c r="G313" s="28" t="inlineStr">
        <is>
          <t>AUMS (Mining Contractor)</t>
        </is>
      </c>
      <c r="H313" s="34" t="n">
        <v>23870</v>
      </c>
      <c r="I313" s="35" t="n">
        <v>3</v>
      </c>
      <c r="J313" s="35" t="n">
        <v>4</v>
      </c>
      <c r="K313" s="35" t="n">
        <v>8</v>
      </c>
      <c r="L313" s="35" t="n">
        <v>7</v>
      </c>
      <c r="M313" s="35" t="n">
        <v>6</v>
      </c>
      <c r="N313" s="35" t="n">
        <v>6</v>
      </c>
      <c r="O313" s="36" t="n">
        <v>0.966</v>
      </c>
      <c r="P313" s="35" t="n">
        <v>1</v>
      </c>
      <c r="Q313" s="35" t="n">
        <v>7</v>
      </c>
      <c r="R313" s="35" t="n">
        <v>18</v>
      </c>
      <c r="S313" s="35" t="n">
        <v>18</v>
      </c>
      <c r="T313" s="37" t="n">
        <v>0.98</v>
      </c>
      <c r="U313" s="38">
        <f>IFERROR([@InspDone]/[@InspPlanned],0)</f>
        <v/>
      </c>
      <c r="V313" s="38">
        <f>IFERROR([@ObsClosed]/[@ObsRaised],0)</f>
        <v/>
      </c>
    </row>
    <row r="314">
      <c r="A314" s="33" t="n">
        <v>45962</v>
      </c>
      <c r="B314" s="28">
        <f>YEAR([@Period])</f>
        <v/>
      </c>
      <c r="C314" s="28">
        <f>TEXT([@Period],"mmm")</f>
        <v/>
      </c>
      <c r="D314" s="30">
        <f>MONTH([@Period])</f>
        <v/>
      </c>
      <c r="E314" s="28" t="inlineStr">
        <is>
          <t>Drill &amp; Blast</t>
        </is>
      </c>
      <c r="F314" s="28" t="inlineStr">
        <is>
          <t>Mining</t>
        </is>
      </c>
      <c r="G314" s="28" t="inlineStr">
        <is>
          <t>Maxam (Blasting)</t>
        </is>
      </c>
      <c r="H314" s="34" t="n">
        <v>8320</v>
      </c>
      <c r="I314" s="35" t="n">
        <v>1</v>
      </c>
      <c r="J314" s="35" t="n">
        <v>0</v>
      </c>
      <c r="K314" s="35" t="n">
        <v>2</v>
      </c>
      <c r="L314" s="35" t="n">
        <v>2</v>
      </c>
      <c r="M314" s="35" t="n">
        <v>2</v>
      </c>
      <c r="N314" s="35" t="n">
        <v>2</v>
      </c>
      <c r="O314" s="36" t="n">
        <v>0.981</v>
      </c>
      <c r="P314" s="35" t="n">
        <v>1</v>
      </c>
      <c r="Q314" s="35" t="n">
        <v>3</v>
      </c>
      <c r="R314" s="35" t="n">
        <v>6</v>
      </c>
      <c r="S314" s="35" t="n">
        <v>6</v>
      </c>
      <c r="T314" s="37" t="n">
        <v>0.957</v>
      </c>
      <c r="U314" s="38">
        <f>IFERROR([@InspDone]/[@InspPlanned],0)</f>
        <v/>
      </c>
      <c r="V314" s="38">
        <f>IFERROR([@ObsClosed]/[@ObsRaised],0)</f>
        <v/>
      </c>
    </row>
    <row r="315">
      <c r="A315" s="33" t="n">
        <v>45962</v>
      </c>
      <c r="B315" s="28">
        <f>YEAR([@Period])</f>
        <v/>
      </c>
      <c r="C315" s="28">
        <f>TEXT([@Period],"mmm")</f>
        <v/>
      </c>
      <c r="D315" s="30">
        <f>MONTH([@Period])</f>
        <v/>
      </c>
      <c r="E315" s="28" t="inlineStr">
        <is>
          <t>Haul Roads</t>
        </is>
      </c>
      <c r="F315" s="28" t="inlineStr">
        <is>
          <t>Mining</t>
        </is>
      </c>
      <c r="G315" s="28" t="inlineStr">
        <is>
          <t>AUMS (Mining Contractor)</t>
        </is>
      </c>
      <c r="H315" s="34" t="n">
        <v>11880</v>
      </c>
      <c r="I315" s="35" t="n">
        <v>2</v>
      </c>
      <c r="J315" s="35" t="n">
        <v>1</v>
      </c>
      <c r="K315" s="35" t="n">
        <v>7</v>
      </c>
      <c r="L315" s="35" t="n">
        <v>6</v>
      </c>
      <c r="M315" s="35" t="n">
        <v>3</v>
      </c>
      <c r="N315" s="35" t="n">
        <v>3</v>
      </c>
      <c r="O315" s="36" t="n">
        <v>0.984</v>
      </c>
      <c r="P315" s="35" t="n">
        <v>0</v>
      </c>
      <c r="Q315" s="35" t="n">
        <v>2</v>
      </c>
      <c r="R315" s="35" t="n">
        <v>10</v>
      </c>
      <c r="S315" s="35" t="n">
        <v>9</v>
      </c>
      <c r="T315" s="37" t="n">
        <v>0.974</v>
      </c>
      <c r="U315" s="38">
        <f>IFERROR([@InspDone]/[@InspPlanned],0)</f>
        <v/>
      </c>
      <c r="V315" s="38">
        <f>IFERROR([@ObsClosed]/[@ObsRaised],0)</f>
        <v/>
      </c>
    </row>
    <row r="316">
      <c r="A316" s="33" t="n">
        <v>45962</v>
      </c>
      <c r="B316" s="28">
        <f>YEAR([@Period])</f>
        <v/>
      </c>
      <c r="C316" s="28">
        <f>TEXT([@Period],"mmm")</f>
        <v/>
      </c>
      <c r="D316" s="30">
        <f>MONTH([@Period])</f>
        <v/>
      </c>
      <c r="E316" s="28" t="inlineStr">
        <is>
          <t>Explosives Magazine</t>
        </is>
      </c>
      <c r="F316" s="28" t="inlineStr">
        <is>
          <t>Mining</t>
        </is>
      </c>
      <c r="G316" s="28" t="inlineStr">
        <is>
          <t>Maxam (Blasting)</t>
        </is>
      </c>
      <c r="H316" s="34" t="n">
        <v>2895</v>
      </c>
      <c r="I316" s="35" t="n">
        <v>0</v>
      </c>
      <c r="J316" s="35" t="n">
        <v>1</v>
      </c>
      <c r="K316" s="35" t="n">
        <v>2</v>
      </c>
      <c r="L316" s="35" t="n">
        <v>2</v>
      </c>
      <c r="M316" s="35" t="n">
        <v>2</v>
      </c>
      <c r="N316" s="35" t="n">
        <v>2</v>
      </c>
      <c r="O316" s="36" t="n">
        <v>0.929</v>
      </c>
      <c r="P316" s="35" t="n">
        <v>1</v>
      </c>
      <c r="Q316" s="35" t="n">
        <v>5</v>
      </c>
      <c r="R316" s="35" t="n">
        <v>3</v>
      </c>
      <c r="S316" s="35" t="n">
        <v>3</v>
      </c>
      <c r="T316" s="37" t="n">
        <v>0.912</v>
      </c>
      <c r="U316" s="38">
        <f>IFERROR([@InspDone]/[@InspPlanned],0)</f>
        <v/>
      </c>
      <c r="V316" s="38">
        <f>IFERROR([@ObsClosed]/[@ObsRaised],0)</f>
        <v/>
      </c>
    </row>
    <row r="317">
      <c r="A317" s="33" t="n">
        <v>45962</v>
      </c>
      <c r="B317" s="28">
        <f>YEAR([@Period])</f>
        <v/>
      </c>
      <c r="C317" s="28">
        <f>TEXT([@Period],"mmm")</f>
        <v/>
      </c>
      <c r="D317" s="30">
        <f>MONTH([@Period])</f>
        <v/>
      </c>
      <c r="E317" s="28" t="inlineStr">
        <is>
          <t>Crushing Circuit</t>
        </is>
      </c>
      <c r="F317" s="28" t="inlineStr">
        <is>
          <t>Processing</t>
        </is>
      </c>
      <c r="G317" s="28" t="inlineStr">
        <is>
          <t>Owner (Asanko)</t>
        </is>
      </c>
      <c r="H317" s="34" t="n">
        <v>7770</v>
      </c>
      <c r="I317" s="35" t="n">
        <v>0</v>
      </c>
      <c r="J317" s="35" t="n">
        <v>0</v>
      </c>
      <c r="K317" s="35" t="n">
        <v>5</v>
      </c>
      <c r="L317" s="35" t="n">
        <v>4</v>
      </c>
      <c r="M317" s="35" t="n">
        <v>2</v>
      </c>
      <c r="N317" s="35" t="n">
        <v>2</v>
      </c>
      <c r="O317" s="36" t="n">
        <v>0.956</v>
      </c>
      <c r="P317" s="35" t="n">
        <v>0</v>
      </c>
      <c r="Q317" s="35" t="n">
        <v>0</v>
      </c>
      <c r="R317" s="35" t="n">
        <v>5</v>
      </c>
      <c r="S317" s="35" t="n">
        <v>5</v>
      </c>
      <c r="T317" s="37" t="n">
        <v>0.968</v>
      </c>
      <c r="U317" s="38">
        <f>IFERROR([@InspDone]/[@InspPlanned],0)</f>
        <v/>
      </c>
      <c r="V317" s="38">
        <f>IFERROR([@ObsClosed]/[@ObsRaised],0)</f>
        <v/>
      </c>
    </row>
    <row r="318">
      <c r="A318" s="33" t="n">
        <v>45962</v>
      </c>
      <c r="B318" s="28">
        <f>YEAR([@Period])</f>
        <v/>
      </c>
      <c r="C318" s="28">
        <f>TEXT([@Period],"mmm")</f>
        <v/>
      </c>
      <c r="D318" s="30">
        <f>MONTH([@Period])</f>
        <v/>
      </c>
      <c r="E318" s="28" t="inlineStr">
        <is>
          <t>Processing Plant (CIL)</t>
        </is>
      </c>
      <c r="F318" s="28" t="inlineStr">
        <is>
          <t>Processing</t>
        </is>
      </c>
      <c r="G318" s="28" t="inlineStr">
        <is>
          <t>Owner (Asanko)</t>
        </is>
      </c>
      <c r="H318" s="34" t="n">
        <v>18720</v>
      </c>
      <c r="I318" s="35" t="n">
        <v>9</v>
      </c>
      <c r="J318" s="35" t="n">
        <v>6</v>
      </c>
      <c r="K318" s="35" t="n">
        <v>4</v>
      </c>
      <c r="L318" s="35" t="n">
        <v>3</v>
      </c>
      <c r="M318" s="35" t="n">
        <v>5</v>
      </c>
      <c r="N318" s="35" t="n">
        <v>5</v>
      </c>
      <c r="O318" s="36" t="n">
        <v>0.969</v>
      </c>
      <c r="P318" s="35" t="n">
        <v>0</v>
      </c>
      <c r="Q318" s="35" t="n">
        <v>5</v>
      </c>
      <c r="R318" s="35" t="n">
        <v>15</v>
      </c>
      <c r="S318" s="35" t="n">
        <v>14</v>
      </c>
      <c r="T318" s="37" t="n">
        <v>0.995</v>
      </c>
      <c r="U318" s="38">
        <f>IFERROR([@InspDone]/[@InspPlanned],0)</f>
        <v/>
      </c>
      <c r="V318" s="38">
        <f>IFERROR([@ObsClosed]/[@ObsRaised],0)</f>
        <v/>
      </c>
    </row>
    <row r="319">
      <c r="A319" s="33" t="n">
        <v>45962</v>
      </c>
      <c r="B319" s="28">
        <f>YEAR([@Period])</f>
        <v/>
      </c>
      <c r="C319" s="28">
        <f>TEXT([@Period],"mmm")</f>
        <v/>
      </c>
      <c r="D319" s="30">
        <f>MONTH([@Period])</f>
        <v/>
      </c>
      <c r="E319" s="28" t="inlineStr">
        <is>
          <t>Elution &amp; Gold Room</t>
        </is>
      </c>
      <c r="F319" s="28" t="inlineStr">
        <is>
          <t>Processing</t>
        </is>
      </c>
      <c r="G319" s="28" t="inlineStr">
        <is>
          <t>Owner (Asanko)</t>
        </is>
      </c>
      <c r="H319" s="34" t="n">
        <v>4200</v>
      </c>
      <c r="I319" s="35" t="n">
        <v>1</v>
      </c>
      <c r="J319" s="35" t="n">
        <v>0</v>
      </c>
      <c r="K319" s="35" t="n">
        <v>4</v>
      </c>
      <c r="L319" s="35" t="n">
        <v>3</v>
      </c>
      <c r="M319" s="35" t="n">
        <v>2</v>
      </c>
      <c r="N319" s="35" t="n">
        <v>2</v>
      </c>
      <c r="O319" s="36" t="n">
        <v>0.886</v>
      </c>
      <c r="P319" s="35" t="n">
        <v>1</v>
      </c>
      <c r="Q319" s="35" t="n">
        <v>0</v>
      </c>
      <c r="R319" s="35" t="n">
        <v>3</v>
      </c>
      <c r="S319" s="35" t="n">
        <v>3</v>
      </c>
      <c r="T319" s="37" t="n">
        <v>0.986</v>
      </c>
      <c r="U319" s="38">
        <f>IFERROR([@InspDone]/[@InspPlanned],0)</f>
        <v/>
      </c>
      <c r="V319" s="38">
        <f>IFERROR([@ObsClosed]/[@ObsRaised],0)</f>
        <v/>
      </c>
    </row>
    <row r="320">
      <c r="A320" s="33" t="n">
        <v>45962</v>
      </c>
      <c r="B320" s="28">
        <f>YEAR([@Period])</f>
        <v/>
      </c>
      <c r="C320" s="28">
        <f>TEXT([@Period],"mmm")</f>
        <v/>
      </c>
      <c r="D320" s="30">
        <f>MONTH([@Period])</f>
        <v/>
      </c>
      <c r="E320" s="28" t="inlineStr">
        <is>
          <t>Tailings Storage Facility</t>
        </is>
      </c>
      <c r="F320" s="28" t="inlineStr">
        <is>
          <t>Environment</t>
        </is>
      </c>
      <c r="G320" s="28" t="inlineStr">
        <is>
          <t>Owner (Asanko)</t>
        </is>
      </c>
      <c r="H320" s="34" t="n">
        <v>3744</v>
      </c>
      <c r="I320" s="35" t="n">
        <v>0</v>
      </c>
      <c r="J320" s="35" t="n">
        <v>0</v>
      </c>
      <c r="K320" s="35" t="n">
        <v>3</v>
      </c>
      <c r="L320" s="35" t="n">
        <v>3</v>
      </c>
      <c r="M320" s="35" t="n">
        <v>2</v>
      </c>
      <c r="N320" s="35" t="n">
        <v>2</v>
      </c>
      <c r="O320" s="36" t="n">
        <v>0.985</v>
      </c>
      <c r="P320" s="35" t="n">
        <v>1</v>
      </c>
      <c r="Q320" s="35" t="n">
        <v>1</v>
      </c>
      <c r="R320" s="35" t="n">
        <v>3</v>
      </c>
      <c r="S320" s="35" t="n">
        <v>3</v>
      </c>
      <c r="T320" s="37" t="n">
        <v>0.915</v>
      </c>
      <c r="U320" s="38">
        <f>IFERROR([@InspDone]/[@InspPlanned],0)</f>
        <v/>
      </c>
      <c r="V320" s="38">
        <f>IFERROR([@ObsClosed]/[@ObsRaised],0)</f>
        <v/>
      </c>
    </row>
    <row r="321">
      <c r="A321" s="33" t="n">
        <v>45962</v>
      </c>
      <c r="B321" s="28">
        <f>YEAR([@Period])</f>
        <v/>
      </c>
      <c r="C321" s="28">
        <f>TEXT([@Period],"mmm")</f>
        <v/>
      </c>
      <c r="D321" s="30">
        <f>MONTH([@Period])</f>
        <v/>
      </c>
      <c r="E321" s="28" t="inlineStr">
        <is>
          <t>Water Treatment</t>
        </is>
      </c>
      <c r="F321" s="28" t="inlineStr">
        <is>
          <t>Environment</t>
        </is>
      </c>
      <c r="G321" s="28" t="inlineStr">
        <is>
          <t>Owner (Asanko)</t>
        </is>
      </c>
      <c r="H321" s="34" t="n">
        <v>2748</v>
      </c>
      <c r="I321" s="35" t="n">
        <v>0</v>
      </c>
      <c r="J321" s="35" t="n">
        <v>3</v>
      </c>
      <c r="K321" s="35" t="n">
        <v>1</v>
      </c>
      <c r="L321" s="35" t="n">
        <v>1</v>
      </c>
      <c r="M321" s="35" t="n">
        <v>2</v>
      </c>
      <c r="N321" s="35" t="n">
        <v>2</v>
      </c>
      <c r="O321" s="36" t="n">
        <v>0.993</v>
      </c>
      <c r="P321" s="35" t="n">
        <v>1</v>
      </c>
      <c r="Q321" s="35" t="n">
        <v>1</v>
      </c>
      <c r="R321" s="35" t="n">
        <v>3</v>
      </c>
      <c r="S321" s="35" t="n">
        <v>3</v>
      </c>
      <c r="T321" s="37" t="n">
        <v>0.924</v>
      </c>
      <c r="U321" s="38">
        <f>IFERROR([@InspDone]/[@InspPlanned],0)</f>
        <v/>
      </c>
      <c r="V321" s="38">
        <f>IFERROR([@ObsClosed]/[@ObsRaised],0)</f>
        <v/>
      </c>
    </row>
    <row r="322">
      <c r="A322" s="33" t="n">
        <v>45962</v>
      </c>
      <c r="B322" s="28">
        <f>YEAR([@Period])</f>
        <v/>
      </c>
      <c r="C322" s="28">
        <f>TEXT([@Period],"mmm")</f>
        <v/>
      </c>
      <c r="D322" s="30">
        <f>MONTH([@Period])</f>
        <v/>
      </c>
      <c r="E322" s="28" t="inlineStr">
        <is>
          <t>Assay Laboratory</t>
        </is>
      </c>
      <c r="F322" s="28" t="inlineStr">
        <is>
          <t>Laboratory</t>
        </is>
      </c>
      <c r="G322" s="28" t="inlineStr">
        <is>
          <t>SGS (Laboratory)</t>
        </is>
      </c>
      <c r="H322" s="34" t="n">
        <v>4675</v>
      </c>
      <c r="I322" s="35" t="n">
        <v>1</v>
      </c>
      <c r="J322" s="35" t="n">
        <v>2</v>
      </c>
      <c r="K322" s="35" t="n">
        <v>2</v>
      </c>
      <c r="L322" s="35" t="n">
        <v>2</v>
      </c>
      <c r="M322" s="35" t="n">
        <v>2</v>
      </c>
      <c r="N322" s="35" t="n">
        <v>2</v>
      </c>
      <c r="O322" s="36" t="n">
        <v>0.984</v>
      </c>
      <c r="P322" s="35" t="n">
        <v>0</v>
      </c>
      <c r="Q322" s="35" t="n">
        <v>5</v>
      </c>
      <c r="R322" s="35" t="n">
        <v>4</v>
      </c>
      <c r="S322" s="35" t="n">
        <v>4</v>
      </c>
      <c r="T322" s="37" t="n">
        <v>0.952</v>
      </c>
      <c r="U322" s="38">
        <f>IFERROR([@InspDone]/[@InspPlanned],0)</f>
        <v/>
      </c>
      <c r="V322" s="38">
        <f>IFERROR([@ObsClosed]/[@ObsRaised],0)</f>
        <v/>
      </c>
    </row>
    <row r="323">
      <c r="A323" s="33" t="n">
        <v>45962</v>
      </c>
      <c r="B323" s="28">
        <f>YEAR([@Period])</f>
        <v/>
      </c>
      <c r="C323" s="28">
        <f>TEXT([@Period],"mmm")</f>
        <v/>
      </c>
      <c r="D323" s="30">
        <f>MONTH([@Period])</f>
        <v/>
      </c>
      <c r="E323" s="28" t="inlineStr">
        <is>
          <t>HME Workshop</t>
        </is>
      </c>
      <c r="F323" s="28" t="inlineStr">
        <is>
          <t>Engineering</t>
        </is>
      </c>
      <c r="G323" s="28" t="inlineStr">
        <is>
          <t>Owner (Asanko)</t>
        </is>
      </c>
      <c r="H323" s="34" t="n">
        <v>9955</v>
      </c>
      <c r="I323" s="35" t="n">
        <v>6</v>
      </c>
      <c r="J323" s="35" t="n">
        <v>4</v>
      </c>
      <c r="K323" s="35" t="n">
        <v>7</v>
      </c>
      <c r="L323" s="35" t="n">
        <v>6</v>
      </c>
      <c r="M323" s="35" t="n">
        <v>3</v>
      </c>
      <c r="N323" s="35" t="n">
        <v>3</v>
      </c>
      <c r="O323" s="36" t="n">
        <v>0.896</v>
      </c>
      <c r="P323" s="35" t="n">
        <v>1</v>
      </c>
      <c r="Q323" s="35" t="n">
        <v>4</v>
      </c>
      <c r="R323" s="35" t="n">
        <v>9</v>
      </c>
      <c r="S323" s="35" t="n">
        <v>9</v>
      </c>
      <c r="T323" s="37" t="n">
        <v>0.9409999999999999</v>
      </c>
      <c r="U323" s="38">
        <f>IFERROR([@InspDone]/[@InspPlanned],0)</f>
        <v/>
      </c>
      <c r="V323" s="38">
        <f>IFERROR([@ObsClosed]/[@ObsRaised],0)</f>
        <v/>
      </c>
    </row>
    <row r="324">
      <c r="A324" s="33" t="n">
        <v>45962</v>
      </c>
      <c r="B324" s="28">
        <f>YEAR([@Period])</f>
        <v/>
      </c>
      <c r="C324" s="28">
        <f>TEXT([@Period],"mmm")</f>
        <v/>
      </c>
      <c r="D324" s="30">
        <f>MONTH([@Period])</f>
        <v/>
      </c>
      <c r="E324" s="28" t="inlineStr">
        <is>
          <t>Fuel Farm</t>
        </is>
      </c>
      <c r="F324" s="28" t="inlineStr">
        <is>
          <t>Engineering</t>
        </is>
      </c>
      <c r="G324" s="28" t="inlineStr">
        <is>
          <t>Owner (Asanko)</t>
        </is>
      </c>
      <c r="H324" s="34" t="n">
        <v>2080</v>
      </c>
      <c r="I324" s="35" t="n">
        <v>2</v>
      </c>
      <c r="J324" s="35" t="n">
        <v>0</v>
      </c>
      <c r="K324" s="35" t="n">
        <v>3</v>
      </c>
      <c r="L324" s="35" t="n">
        <v>2</v>
      </c>
      <c r="M324" s="35" t="n">
        <v>2</v>
      </c>
      <c r="N324" s="35" t="n">
        <v>2</v>
      </c>
      <c r="O324" s="36" t="n">
        <v>0.918</v>
      </c>
      <c r="P324" s="35" t="n">
        <v>1</v>
      </c>
      <c r="Q324" s="35" t="n">
        <v>2</v>
      </c>
      <c r="R324" s="35" t="n">
        <v>3</v>
      </c>
      <c r="S324" s="35" t="n">
        <v>3</v>
      </c>
      <c r="T324" s="37" t="n">
        <v>0.926</v>
      </c>
      <c r="U324" s="38">
        <f>IFERROR([@InspDone]/[@InspPlanned],0)</f>
        <v/>
      </c>
      <c r="V324" s="38">
        <f>IFERROR([@ObsClosed]/[@ObsRaised],0)</f>
        <v/>
      </c>
    </row>
    <row r="325">
      <c r="A325" s="33" t="n">
        <v>45962</v>
      </c>
      <c r="B325" s="28">
        <f>YEAR([@Period])</f>
        <v/>
      </c>
      <c r="C325" s="28">
        <f>TEXT([@Period],"mmm")</f>
        <v/>
      </c>
      <c r="D325" s="30">
        <f>MONTH([@Period])</f>
        <v/>
      </c>
      <c r="E325" s="28" t="inlineStr">
        <is>
          <t>Power Station</t>
        </is>
      </c>
      <c r="F325" s="28" t="inlineStr">
        <is>
          <t>Engineering</t>
        </is>
      </c>
      <c r="G325" s="28" t="inlineStr">
        <is>
          <t>Genser (Power)</t>
        </is>
      </c>
      <c r="H325" s="34" t="n">
        <v>5016</v>
      </c>
      <c r="I325" s="35" t="n">
        <v>2</v>
      </c>
      <c r="J325" s="35" t="n">
        <v>1</v>
      </c>
      <c r="K325" s="35" t="n">
        <v>2</v>
      </c>
      <c r="L325" s="35" t="n">
        <v>2</v>
      </c>
      <c r="M325" s="35" t="n">
        <v>2</v>
      </c>
      <c r="N325" s="35" t="n">
        <v>2</v>
      </c>
      <c r="O325" s="36" t="n">
        <v>0.9429999999999999</v>
      </c>
      <c r="P325" s="35" t="n">
        <v>0</v>
      </c>
      <c r="Q325" s="35" t="n">
        <v>4</v>
      </c>
      <c r="R325" s="35" t="n">
        <v>3</v>
      </c>
      <c r="S325" s="35" t="n">
        <v>3</v>
      </c>
      <c r="T325" s="37" t="n">
        <v>0.973</v>
      </c>
      <c r="U325" s="38">
        <f>IFERROR([@InspDone]/[@InspPlanned],0)</f>
        <v/>
      </c>
      <c r="V325" s="38">
        <f>IFERROR([@ObsClosed]/[@ObsRaised],0)</f>
        <v/>
      </c>
    </row>
    <row r="326">
      <c r="A326" s="33" t="n">
        <v>45962</v>
      </c>
      <c r="B326" s="28">
        <f>YEAR([@Period])</f>
        <v/>
      </c>
      <c r="C326" s="28">
        <f>TEXT([@Period],"mmm")</f>
        <v/>
      </c>
      <c r="D326" s="30">
        <f>MONTH([@Period])</f>
        <v/>
      </c>
      <c r="E326" s="28" t="inlineStr">
        <is>
          <t>Warehouse &amp; Stores</t>
        </is>
      </c>
      <c r="F326" s="28" t="inlineStr">
        <is>
          <t>Logistics</t>
        </is>
      </c>
      <c r="G326" s="28" t="inlineStr">
        <is>
          <t>Owner (Asanko)</t>
        </is>
      </c>
      <c r="H326" s="34" t="n">
        <v>4872</v>
      </c>
      <c r="I326" s="35" t="n">
        <v>1</v>
      </c>
      <c r="J326" s="35" t="n">
        <v>1</v>
      </c>
      <c r="K326" s="35" t="n">
        <v>3</v>
      </c>
      <c r="L326" s="35" t="n">
        <v>2</v>
      </c>
      <c r="M326" s="35" t="n">
        <v>2</v>
      </c>
      <c r="N326" s="35" t="n">
        <v>2</v>
      </c>
      <c r="O326" s="36" t="n">
        <v>0.985</v>
      </c>
      <c r="P326" s="35" t="n">
        <v>0</v>
      </c>
      <c r="Q326" s="35" t="n">
        <v>5</v>
      </c>
      <c r="R326" s="35" t="n">
        <v>4</v>
      </c>
      <c r="S326" s="35" t="n">
        <v>4</v>
      </c>
      <c r="T326" s="37" t="n">
        <v>0.9399999999999999</v>
      </c>
      <c r="U326" s="38">
        <f>IFERROR([@InspDone]/[@InspPlanned],0)</f>
        <v/>
      </c>
      <c r="V326" s="38">
        <f>IFERROR([@ObsClosed]/[@ObsRaised],0)</f>
        <v/>
      </c>
    </row>
    <row r="327">
      <c r="A327" s="33" t="n">
        <v>45962</v>
      </c>
      <c r="B327" s="28">
        <f>YEAR([@Period])</f>
        <v/>
      </c>
      <c r="C327" s="28">
        <f>TEXT([@Period],"mmm")</f>
        <v/>
      </c>
      <c r="D327" s="30">
        <f>MONTH([@Period])</f>
        <v/>
      </c>
      <c r="E327" s="28" t="inlineStr">
        <is>
          <t>Administration</t>
        </is>
      </c>
      <c r="F327" s="28" t="inlineStr">
        <is>
          <t>Administration</t>
        </is>
      </c>
      <c r="G327" s="28" t="inlineStr">
        <is>
          <t>Owner (Asanko)</t>
        </is>
      </c>
      <c r="H327" s="34" t="n">
        <v>11760</v>
      </c>
      <c r="I327" s="35" t="n">
        <v>2</v>
      </c>
      <c r="J327" s="35" t="n">
        <v>2</v>
      </c>
      <c r="K327" s="35" t="n">
        <v>4</v>
      </c>
      <c r="L327" s="35" t="n">
        <v>4</v>
      </c>
      <c r="M327" s="35" t="n">
        <v>3</v>
      </c>
      <c r="N327" s="35" t="n">
        <v>3</v>
      </c>
      <c r="O327" s="36" t="n">
        <v>0.9409999999999999</v>
      </c>
      <c r="P327" s="35" t="n">
        <v>1</v>
      </c>
      <c r="Q327" s="35" t="n">
        <v>6</v>
      </c>
      <c r="R327" s="35" t="n">
        <v>10</v>
      </c>
      <c r="S327" s="35" t="n">
        <v>10</v>
      </c>
      <c r="T327" s="37" t="n">
        <v>0.9320000000000001</v>
      </c>
      <c r="U327" s="38">
        <f>IFERROR([@InspDone]/[@InspPlanned],0)</f>
        <v/>
      </c>
      <c r="V327" s="38">
        <f>IFERROR([@ObsClosed]/[@ObsRaised],0)</f>
        <v/>
      </c>
    </row>
    <row r="328">
      <c r="A328" s="33" t="n">
        <v>45962</v>
      </c>
      <c r="B328" s="28">
        <f>YEAR([@Period])</f>
        <v/>
      </c>
      <c r="C328" s="28">
        <f>TEXT([@Period],"mmm")</f>
        <v/>
      </c>
      <c r="D328" s="30">
        <f>MONTH([@Period])</f>
        <v/>
      </c>
      <c r="E328" s="28" t="inlineStr">
        <is>
          <t>Accommodation Camp</t>
        </is>
      </c>
      <c r="F328" s="28" t="inlineStr">
        <is>
          <t>Administration</t>
        </is>
      </c>
      <c r="G328" s="28" t="inlineStr">
        <is>
          <t>Catering Co (Camp)</t>
        </is>
      </c>
      <c r="H328" s="34" t="n">
        <v>5940</v>
      </c>
      <c r="I328" s="35" t="n">
        <v>1</v>
      </c>
      <c r="J328" s="35" t="n">
        <v>0</v>
      </c>
      <c r="K328" s="35" t="n">
        <v>0</v>
      </c>
      <c r="L328" s="35" t="n">
        <v>0</v>
      </c>
      <c r="M328" s="35" t="n">
        <v>2</v>
      </c>
      <c r="N328" s="35" t="n">
        <v>2</v>
      </c>
      <c r="O328" s="36" t="n">
        <v>0.968</v>
      </c>
      <c r="P328" s="35" t="n">
        <v>1</v>
      </c>
      <c r="Q328" s="35" t="n">
        <v>3</v>
      </c>
      <c r="R328" s="35" t="n">
        <v>5</v>
      </c>
      <c r="S328" s="35" t="n">
        <v>5</v>
      </c>
      <c r="T328" s="37" t="n">
        <v>0.983</v>
      </c>
      <c r="U328" s="38">
        <f>IFERROR([@InspDone]/[@InspPlanned],0)</f>
        <v/>
      </c>
      <c r="V328" s="38">
        <f>IFERROR([@ObsClosed]/[@ObsRaised],0)</f>
        <v/>
      </c>
    </row>
    <row r="329">
      <c r="A329" s="33" t="n">
        <v>45962</v>
      </c>
      <c r="B329" s="28">
        <f>YEAR([@Period])</f>
        <v/>
      </c>
      <c r="C329" s="28">
        <f>TEXT([@Period],"mmm")</f>
        <v/>
      </c>
      <c r="D329" s="30">
        <f>MONTH([@Period])</f>
        <v/>
      </c>
      <c r="E329" s="28" t="inlineStr">
        <is>
          <t>Security Gatehouse</t>
        </is>
      </c>
      <c r="F329" s="28" t="inlineStr">
        <is>
          <t>Security</t>
        </is>
      </c>
      <c r="G329" s="28" t="inlineStr">
        <is>
          <t>G4S (Security)</t>
        </is>
      </c>
      <c r="H329" s="34" t="n">
        <v>10215</v>
      </c>
      <c r="I329" s="35" t="n">
        <v>0</v>
      </c>
      <c r="J329" s="35" t="n">
        <v>1</v>
      </c>
      <c r="K329" s="35" t="n">
        <v>3</v>
      </c>
      <c r="L329" s="35" t="n">
        <v>2</v>
      </c>
      <c r="M329" s="35" t="n">
        <v>2</v>
      </c>
      <c r="N329" s="35" t="n">
        <v>2</v>
      </c>
      <c r="O329" s="36" t="n">
        <v>0.926</v>
      </c>
      <c r="P329" s="35" t="n">
        <v>0</v>
      </c>
      <c r="Q329" s="35" t="n">
        <v>4</v>
      </c>
      <c r="R329" s="35" t="n">
        <v>7</v>
      </c>
      <c r="S329" s="35" t="n">
        <v>7</v>
      </c>
      <c r="T329" s="37" t="n">
        <v>0.978</v>
      </c>
      <c r="U329" s="38">
        <f>IFERROR([@InspDone]/[@InspPlanned],0)</f>
        <v/>
      </c>
      <c r="V329" s="38">
        <f>IFERROR([@ObsClosed]/[@ObsRaised],0)</f>
        <v/>
      </c>
    </row>
    <row r="330">
      <c r="A330" s="33" t="n">
        <v>45992</v>
      </c>
      <c r="B330" s="28">
        <f>YEAR([@Period])</f>
        <v/>
      </c>
      <c r="C330" s="28">
        <f>TEXT([@Period],"mmm")</f>
        <v/>
      </c>
      <c r="D330" s="30">
        <f>MONTH([@Period])</f>
        <v/>
      </c>
      <c r="E330" s="28" t="inlineStr">
        <is>
          <t>Nkran Open Pit</t>
        </is>
      </c>
      <c r="F330" s="28" t="inlineStr">
        <is>
          <t>Mining</t>
        </is>
      </c>
      <c r="G330" s="28" t="inlineStr">
        <is>
          <t>AUMS (Mining Contractor)</t>
        </is>
      </c>
      <c r="H330" s="34" t="n">
        <v>25440</v>
      </c>
      <c r="I330" s="35" t="n">
        <v>10</v>
      </c>
      <c r="J330" s="35" t="n">
        <v>2</v>
      </c>
      <c r="K330" s="35" t="n">
        <v>8</v>
      </c>
      <c r="L330" s="35" t="n">
        <v>7</v>
      </c>
      <c r="M330" s="35" t="n">
        <v>6</v>
      </c>
      <c r="N330" s="35" t="n">
        <v>6</v>
      </c>
      <c r="O330" s="36" t="n">
        <v>0.909</v>
      </c>
      <c r="P330" s="35" t="n">
        <v>1</v>
      </c>
      <c r="Q330" s="35" t="n">
        <v>10</v>
      </c>
      <c r="R330" s="35" t="n">
        <v>20</v>
      </c>
      <c r="S330" s="35" t="n">
        <v>18</v>
      </c>
      <c r="T330" s="37" t="n">
        <v>0.967</v>
      </c>
      <c r="U330" s="38">
        <f>IFERROR([@InspDone]/[@InspPlanned],0)</f>
        <v/>
      </c>
      <c r="V330" s="38">
        <f>IFERROR([@ObsClosed]/[@ObsRaised],0)</f>
        <v/>
      </c>
    </row>
    <row r="331">
      <c r="A331" s="33" t="n">
        <v>45992</v>
      </c>
      <c r="B331" s="28">
        <f>YEAR([@Period])</f>
        <v/>
      </c>
      <c r="C331" s="28">
        <f>TEXT([@Period],"mmm")</f>
        <v/>
      </c>
      <c r="D331" s="30">
        <f>MONTH([@Period])</f>
        <v/>
      </c>
      <c r="E331" s="28" t="inlineStr">
        <is>
          <t>Esaase Open Pit</t>
        </is>
      </c>
      <c r="F331" s="28" t="inlineStr">
        <is>
          <t>Mining</t>
        </is>
      </c>
      <c r="G331" s="28" t="inlineStr">
        <is>
          <t>AUMS (Mining Contractor)</t>
        </is>
      </c>
      <c r="H331" s="34" t="n">
        <v>20460</v>
      </c>
      <c r="I331" s="35" t="n">
        <v>3</v>
      </c>
      <c r="J331" s="35" t="n">
        <v>3</v>
      </c>
      <c r="K331" s="35" t="n">
        <v>12</v>
      </c>
      <c r="L331" s="35" t="n">
        <v>10</v>
      </c>
      <c r="M331" s="35" t="n">
        <v>6</v>
      </c>
      <c r="N331" s="35" t="n">
        <v>6</v>
      </c>
      <c r="O331" s="36" t="n">
        <v>0.9379999999999999</v>
      </c>
      <c r="P331" s="35" t="n">
        <v>0</v>
      </c>
      <c r="Q331" s="35" t="n">
        <v>7</v>
      </c>
      <c r="R331" s="35" t="n">
        <v>18</v>
      </c>
      <c r="S331" s="35" t="n">
        <v>17</v>
      </c>
      <c r="T331" s="37" t="n">
        <v>0.968</v>
      </c>
      <c r="U331" s="38">
        <f>IFERROR([@InspDone]/[@InspPlanned],0)</f>
        <v/>
      </c>
      <c r="V331" s="38">
        <f>IFERROR([@ObsClosed]/[@ObsRaised],0)</f>
        <v/>
      </c>
    </row>
    <row r="332">
      <c r="A332" s="33" t="n">
        <v>45992</v>
      </c>
      <c r="B332" s="28">
        <f>YEAR([@Period])</f>
        <v/>
      </c>
      <c r="C332" s="28">
        <f>TEXT([@Period],"mmm")</f>
        <v/>
      </c>
      <c r="D332" s="30">
        <f>MONTH([@Period])</f>
        <v/>
      </c>
      <c r="E332" s="28" t="inlineStr">
        <is>
          <t>Drill &amp; Blast</t>
        </is>
      </c>
      <c r="F332" s="28" t="inlineStr">
        <is>
          <t>Mining</t>
        </is>
      </c>
      <c r="G332" s="28" t="inlineStr">
        <is>
          <t>Maxam (Blasting)</t>
        </is>
      </c>
      <c r="H332" s="34" t="n">
        <v>7280</v>
      </c>
      <c r="I332" s="35" t="n">
        <v>2</v>
      </c>
      <c r="J332" s="35" t="n">
        <v>0</v>
      </c>
      <c r="K332" s="35" t="n">
        <v>3</v>
      </c>
      <c r="L332" s="35" t="n">
        <v>3</v>
      </c>
      <c r="M332" s="35" t="n">
        <v>2</v>
      </c>
      <c r="N332" s="35" t="n">
        <v>2</v>
      </c>
      <c r="O332" s="36" t="n">
        <v>0.919</v>
      </c>
      <c r="P332" s="35" t="n">
        <v>0</v>
      </c>
      <c r="Q332" s="35" t="n">
        <v>2</v>
      </c>
      <c r="R332" s="35" t="n">
        <v>6</v>
      </c>
      <c r="S332" s="35" t="n">
        <v>6</v>
      </c>
      <c r="T332" s="37" t="n">
        <v>0.964</v>
      </c>
      <c r="U332" s="38">
        <f>IFERROR([@InspDone]/[@InspPlanned],0)</f>
        <v/>
      </c>
      <c r="V332" s="38">
        <f>IFERROR([@ObsClosed]/[@ObsRaised],0)</f>
        <v/>
      </c>
    </row>
    <row r="333">
      <c r="A333" s="33" t="n">
        <v>45992</v>
      </c>
      <c r="B333" s="28">
        <f>YEAR([@Period])</f>
        <v/>
      </c>
      <c r="C333" s="28">
        <f>TEXT([@Period],"mmm")</f>
        <v/>
      </c>
      <c r="D333" s="30">
        <f>MONTH([@Period])</f>
        <v/>
      </c>
      <c r="E333" s="28" t="inlineStr">
        <is>
          <t>Haul Roads</t>
        </is>
      </c>
      <c r="F333" s="28" t="inlineStr">
        <is>
          <t>Mining</t>
        </is>
      </c>
      <c r="G333" s="28" t="inlineStr">
        <is>
          <t>AUMS (Mining Contractor)</t>
        </is>
      </c>
      <c r="H333" s="34" t="n">
        <v>12600</v>
      </c>
      <c r="I333" s="35" t="n">
        <v>3</v>
      </c>
      <c r="J333" s="35" t="n">
        <v>4</v>
      </c>
      <c r="K333" s="35" t="n">
        <v>4</v>
      </c>
      <c r="L333" s="35" t="n">
        <v>4</v>
      </c>
      <c r="M333" s="35" t="n">
        <v>3</v>
      </c>
      <c r="N333" s="35" t="n">
        <v>3</v>
      </c>
      <c r="O333" s="36" t="n">
        <v>0.991</v>
      </c>
      <c r="P333" s="35" t="n">
        <v>0</v>
      </c>
      <c r="Q333" s="35" t="n">
        <v>5</v>
      </c>
      <c r="R333" s="35" t="n">
        <v>10</v>
      </c>
      <c r="S333" s="35" t="n">
        <v>10</v>
      </c>
      <c r="T333" s="37" t="n">
        <v>0.969</v>
      </c>
      <c r="U333" s="38">
        <f>IFERROR([@InspDone]/[@InspPlanned],0)</f>
        <v/>
      </c>
      <c r="V333" s="38">
        <f>IFERROR([@ObsClosed]/[@ObsRaised],0)</f>
        <v/>
      </c>
    </row>
    <row r="334">
      <c r="A334" s="33" t="n">
        <v>45992</v>
      </c>
      <c r="B334" s="28">
        <f>YEAR([@Period])</f>
        <v/>
      </c>
      <c r="C334" s="28">
        <f>TEXT([@Period],"mmm")</f>
        <v/>
      </c>
      <c r="D334" s="30">
        <f>MONTH([@Period])</f>
        <v/>
      </c>
      <c r="E334" s="28" t="inlineStr">
        <is>
          <t>Explosives Magazine</t>
        </is>
      </c>
      <c r="F334" s="28" t="inlineStr">
        <is>
          <t>Mining</t>
        </is>
      </c>
      <c r="G334" s="28" t="inlineStr">
        <is>
          <t>Maxam (Blasting)</t>
        </is>
      </c>
      <c r="H334" s="34" t="n">
        <v>2925</v>
      </c>
      <c r="I334" s="35" t="n">
        <v>1</v>
      </c>
      <c r="J334" s="35" t="n">
        <v>0</v>
      </c>
      <c r="K334" s="35" t="n">
        <v>1</v>
      </c>
      <c r="L334" s="35" t="n">
        <v>1</v>
      </c>
      <c r="M334" s="35" t="n">
        <v>2</v>
      </c>
      <c r="N334" s="35" t="n">
        <v>2</v>
      </c>
      <c r="O334" s="36" t="n">
        <v>0.913</v>
      </c>
      <c r="P334" s="35" t="n">
        <v>0</v>
      </c>
      <c r="Q334" s="35" t="n">
        <v>2</v>
      </c>
      <c r="R334" s="35" t="n">
        <v>3</v>
      </c>
      <c r="S334" s="35" t="n">
        <v>3</v>
      </c>
      <c r="T334" s="37" t="n">
        <v>0.95</v>
      </c>
      <c r="U334" s="38">
        <f>IFERROR([@InspDone]/[@InspPlanned],0)</f>
        <v/>
      </c>
      <c r="V334" s="38">
        <f>IFERROR([@ObsClosed]/[@ObsRaised],0)</f>
        <v/>
      </c>
    </row>
    <row r="335">
      <c r="A335" s="33" t="n">
        <v>45992</v>
      </c>
      <c r="B335" s="28">
        <f>YEAR([@Period])</f>
        <v/>
      </c>
      <c r="C335" s="28">
        <f>TEXT([@Period],"mmm")</f>
        <v/>
      </c>
      <c r="D335" s="30">
        <f>MONTH([@Period])</f>
        <v/>
      </c>
      <c r="E335" s="28" t="inlineStr">
        <is>
          <t>Crushing Circuit</t>
        </is>
      </c>
      <c r="F335" s="28" t="inlineStr">
        <is>
          <t>Processing</t>
        </is>
      </c>
      <c r="G335" s="28" t="inlineStr">
        <is>
          <t>Owner (Asanko)</t>
        </is>
      </c>
      <c r="H335" s="34" t="n">
        <v>7875</v>
      </c>
      <c r="I335" s="35" t="n">
        <v>2</v>
      </c>
      <c r="J335" s="35" t="n">
        <v>0</v>
      </c>
      <c r="K335" s="35" t="n">
        <v>3</v>
      </c>
      <c r="L335" s="35" t="n">
        <v>2</v>
      </c>
      <c r="M335" s="35" t="n">
        <v>2</v>
      </c>
      <c r="N335" s="35" t="n">
        <v>2</v>
      </c>
      <c r="O335" s="36" t="n">
        <v>0.966</v>
      </c>
      <c r="P335" s="35" t="n">
        <v>0</v>
      </c>
      <c r="Q335" s="35" t="n">
        <v>1</v>
      </c>
      <c r="R335" s="35" t="n">
        <v>5</v>
      </c>
      <c r="S335" s="35" t="n">
        <v>5</v>
      </c>
      <c r="T335" s="37" t="n">
        <v>0.951</v>
      </c>
      <c r="U335" s="38">
        <f>IFERROR([@InspDone]/[@InspPlanned],0)</f>
        <v/>
      </c>
      <c r="V335" s="38">
        <f>IFERROR([@ObsClosed]/[@ObsRaised],0)</f>
        <v/>
      </c>
    </row>
    <row r="336">
      <c r="A336" s="33" t="n">
        <v>45992</v>
      </c>
      <c r="B336" s="28">
        <f>YEAR([@Period])</f>
        <v/>
      </c>
      <c r="C336" s="28">
        <f>TEXT([@Period],"mmm")</f>
        <v/>
      </c>
      <c r="D336" s="30">
        <f>MONTH([@Period])</f>
        <v/>
      </c>
      <c r="E336" s="28" t="inlineStr">
        <is>
          <t>Processing Plant (CIL)</t>
        </is>
      </c>
      <c r="F336" s="28" t="inlineStr">
        <is>
          <t>Processing</t>
        </is>
      </c>
      <c r="G336" s="28" t="inlineStr">
        <is>
          <t>Owner (Asanko)</t>
        </is>
      </c>
      <c r="H336" s="34" t="n">
        <v>19260</v>
      </c>
      <c r="I336" s="35" t="n">
        <v>1</v>
      </c>
      <c r="J336" s="35" t="n">
        <v>1</v>
      </c>
      <c r="K336" s="35" t="n">
        <v>7</v>
      </c>
      <c r="L336" s="35" t="n">
        <v>6</v>
      </c>
      <c r="M336" s="35" t="n">
        <v>5</v>
      </c>
      <c r="N336" s="35" t="n">
        <v>5</v>
      </c>
      <c r="O336" s="36" t="n">
        <v>0.887</v>
      </c>
      <c r="P336" s="35" t="n">
        <v>1</v>
      </c>
      <c r="Q336" s="35" t="n">
        <v>8</v>
      </c>
      <c r="R336" s="35" t="n">
        <v>15</v>
      </c>
      <c r="S336" s="35" t="n">
        <v>14</v>
      </c>
      <c r="T336" s="37" t="n">
        <v>0.959</v>
      </c>
      <c r="U336" s="38">
        <f>IFERROR([@InspDone]/[@InspPlanned],0)</f>
        <v/>
      </c>
      <c r="V336" s="38">
        <f>IFERROR([@ObsClosed]/[@ObsRaised],0)</f>
        <v/>
      </c>
    </row>
    <row r="337">
      <c r="A337" s="33" t="n">
        <v>45992</v>
      </c>
      <c r="B337" s="28">
        <f>YEAR([@Period])</f>
        <v/>
      </c>
      <c r="C337" s="28">
        <f>TEXT([@Period],"mmm")</f>
        <v/>
      </c>
      <c r="D337" s="30">
        <f>MONTH([@Period])</f>
        <v/>
      </c>
      <c r="E337" s="28" t="inlineStr">
        <is>
          <t>Elution &amp; Gold Room</t>
        </is>
      </c>
      <c r="F337" s="28" t="inlineStr">
        <is>
          <t>Processing</t>
        </is>
      </c>
      <c r="G337" s="28" t="inlineStr">
        <is>
          <t>Owner (Asanko)</t>
        </is>
      </c>
      <c r="H337" s="34" t="n">
        <v>4060</v>
      </c>
      <c r="I337" s="35" t="n">
        <v>0</v>
      </c>
      <c r="J337" s="35" t="n">
        <v>1</v>
      </c>
      <c r="K337" s="35" t="n">
        <v>4</v>
      </c>
      <c r="L337" s="35" t="n">
        <v>3</v>
      </c>
      <c r="M337" s="35" t="n">
        <v>2</v>
      </c>
      <c r="N337" s="35" t="n">
        <v>2</v>
      </c>
      <c r="O337" s="36" t="n">
        <v>0.975</v>
      </c>
      <c r="P337" s="35" t="n">
        <v>1</v>
      </c>
      <c r="Q337" s="35" t="n">
        <v>3</v>
      </c>
      <c r="R337" s="35" t="n">
        <v>3</v>
      </c>
      <c r="S337" s="35" t="n">
        <v>3</v>
      </c>
      <c r="T337" s="37" t="n">
        <v>0.985</v>
      </c>
      <c r="U337" s="38">
        <f>IFERROR([@InspDone]/[@InspPlanned],0)</f>
        <v/>
      </c>
      <c r="V337" s="38">
        <f>IFERROR([@ObsClosed]/[@ObsRaised],0)</f>
        <v/>
      </c>
    </row>
    <row r="338">
      <c r="A338" s="33" t="n">
        <v>45992</v>
      </c>
      <c r="B338" s="28">
        <f>YEAR([@Period])</f>
        <v/>
      </c>
      <c r="C338" s="28">
        <f>TEXT([@Period],"mmm")</f>
        <v/>
      </c>
      <c r="D338" s="30">
        <f>MONTH([@Period])</f>
        <v/>
      </c>
      <c r="E338" s="28" t="inlineStr">
        <is>
          <t>Tailings Storage Facility</t>
        </is>
      </c>
      <c r="F338" s="28" t="inlineStr">
        <is>
          <t>Environment</t>
        </is>
      </c>
      <c r="G338" s="28" t="inlineStr">
        <is>
          <t>Owner (Asanko)</t>
        </is>
      </c>
      <c r="H338" s="34" t="n">
        <v>4068</v>
      </c>
      <c r="I338" s="35" t="n">
        <v>2</v>
      </c>
      <c r="J338" s="35" t="n">
        <v>2</v>
      </c>
      <c r="K338" s="35" t="n">
        <v>4</v>
      </c>
      <c r="L338" s="35" t="n">
        <v>3</v>
      </c>
      <c r="M338" s="35" t="n">
        <v>2</v>
      </c>
      <c r="N338" s="35" t="n">
        <v>2</v>
      </c>
      <c r="O338" s="36" t="n">
        <v>0.881</v>
      </c>
      <c r="P338" s="35" t="n">
        <v>1</v>
      </c>
      <c r="Q338" s="35" t="n">
        <v>2</v>
      </c>
      <c r="R338" s="35" t="n">
        <v>3</v>
      </c>
      <c r="S338" s="35" t="n">
        <v>3</v>
      </c>
      <c r="T338" s="37" t="n">
        <v>0.9</v>
      </c>
      <c r="U338" s="38">
        <f>IFERROR([@InspDone]/[@InspPlanned],0)</f>
        <v/>
      </c>
      <c r="V338" s="38">
        <f>IFERROR([@ObsClosed]/[@ObsRaised],0)</f>
        <v/>
      </c>
    </row>
    <row r="339">
      <c r="A339" s="33" t="n">
        <v>45992</v>
      </c>
      <c r="B339" s="28">
        <f>YEAR([@Period])</f>
        <v/>
      </c>
      <c r="C339" s="28">
        <f>TEXT([@Period],"mmm")</f>
        <v/>
      </c>
      <c r="D339" s="30">
        <f>MONTH([@Period])</f>
        <v/>
      </c>
      <c r="E339" s="28" t="inlineStr">
        <is>
          <t>Water Treatment</t>
        </is>
      </c>
      <c r="F339" s="28" t="inlineStr">
        <is>
          <t>Environment</t>
        </is>
      </c>
      <c r="G339" s="28" t="inlineStr">
        <is>
          <t>Owner (Asanko)</t>
        </is>
      </c>
      <c r="H339" s="34" t="n">
        <v>2304</v>
      </c>
      <c r="I339" s="35" t="n">
        <v>0</v>
      </c>
      <c r="J339" s="35" t="n">
        <v>0</v>
      </c>
      <c r="K339" s="35" t="n">
        <v>1</v>
      </c>
      <c r="L339" s="35" t="n">
        <v>1</v>
      </c>
      <c r="M339" s="35" t="n">
        <v>2</v>
      </c>
      <c r="N339" s="35" t="n">
        <v>2</v>
      </c>
      <c r="O339" s="36" t="n">
        <v>0.922</v>
      </c>
      <c r="P339" s="35" t="n">
        <v>1</v>
      </c>
      <c r="Q339" s="35" t="n">
        <v>3</v>
      </c>
      <c r="R339" s="35" t="n">
        <v>3</v>
      </c>
      <c r="S339" s="35" t="n">
        <v>3</v>
      </c>
      <c r="T339" s="37" t="n">
        <v>0.93</v>
      </c>
      <c r="U339" s="38">
        <f>IFERROR([@InspDone]/[@InspPlanned],0)</f>
        <v/>
      </c>
      <c r="V339" s="38">
        <f>IFERROR([@ObsClosed]/[@ObsRaised],0)</f>
        <v/>
      </c>
    </row>
    <row r="340">
      <c r="A340" s="33" t="n">
        <v>45992</v>
      </c>
      <c r="B340" s="28">
        <f>YEAR([@Period])</f>
        <v/>
      </c>
      <c r="C340" s="28">
        <f>TEXT([@Period],"mmm")</f>
        <v/>
      </c>
      <c r="D340" s="30">
        <f>MONTH([@Period])</f>
        <v/>
      </c>
      <c r="E340" s="28" t="inlineStr">
        <is>
          <t>Assay Laboratory</t>
        </is>
      </c>
      <c r="F340" s="28" t="inlineStr">
        <is>
          <t>Laboratory</t>
        </is>
      </c>
      <c r="G340" s="28" t="inlineStr">
        <is>
          <t>SGS (Laboratory)</t>
        </is>
      </c>
      <c r="H340" s="34" t="n">
        <v>5600</v>
      </c>
      <c r="I340" s="35" t="n">
        <v>4</v>
      </c>
      <c r="J340" s="35" t="n">
        <v>2</v>
      </c>
      <c r="K340" s="35" t="n">
        <v>1</v>
      </c>
      <c r="L340" s="35" t="n">
        <v>1</v>
      </c>
      <c r="M340" s="35" t="n">
        <v>2</v>
      </c>
      <c r="N340" s="35" t="n">
        <v>2</v>
      </c>
      <c r="O340" s="36" t="n">
        <v>0.91</v>
      </c>
      <c r="P340" s="35" t="n">
        <v>0</v>
      </c>
      <c r="Q340" s="35" t="n">
        <v>2</v>
      </c>
      <c r="R340" s="35" t="n">
        <v>4</v>
      </c>
      <c r="S340" s="35" t="n">
        <v>4</v>
      </c>
      <c r="T340" s="37" t="n">
        <v>0.9409999999999999</v>
      </c>
      <c r="U340" s="38">
        <f>IFERROR([@InspDone]/[@InspPlanned],0)</f>
        <v/>
      </c>
      <c r="V340" s="38">
        <f>IFERROR([@ObsClosed]/[@ObsRaised],0)</f>
        <v/>
      </c>
    </row>
    <row r="341">
      <c r="A341" s="33" t="n">
        <v>45992</v>
      </c>
      <c r="B341" s="28">
        <f>YEAR([@Period])</f>
        <v/>
      </c>
      <c r="C341" s="28">
        <f>TEXT([@Period],"mmm")</f>
        <v/>
      </c>
      <c r="D341" s="30">
        <f>MONTH([@Period])</f>
        <v/>
      </c>
      <c r="E341" s="28" t="inlineStr">
        <is>
          <t>HME Workshop</t>
        </is>
      </c>
      <c r="F341" s="28" t="inlineStr">
        <is>
          <t>Engineering</t>
        </is>
      </c>
      <c r="G341" s="28" t="inlineStr">
        <is>
          <t>Owner (Asanko)</t>
        </is>
      </c>
      <c r="H341" s="34" t="n">
        <v>11440</v>
      </c>
      <c r="I341" s="35" t="n">
        <v>1</v>
      </c>
      <c r="J341" s="35" t="n">
        <v>1</v>
      </c>
      <c r="K341" s="35" t="n">
        <v>1</v>
      </c>
      <c r="L341" s="35" t="n">
        <v>1</v>
      </c>
      <c r="M341" s="35" t="n">
        <v>3</v>
      </c>
      <c r="N341" s="35" t="n">
        <v>3</v>
      </c>
      <c r="O341" s="36" t="n">
        <v>0.976</v>
      </c>
      <c r="P341" s="35" t="n">
        <v>1</v>
      </c>
      <c r="Q341" s="35" t="n">
        <v>15</v>
      </c>
      <c r="R341" s="35" t="n">
        <v>9</v>
      </c>
      <c r="S341" s="35" t="n">
        <v>9</v>
      </c>
      <c r="T341" s="37" t="n">
        <v>0.887</v>
      </c>
      <c r="U341" s="38">
        <f>IFERROR([@InspDone]/[@InspPlanned],0)</f>
        <v/>
      </c>
      <c r="V341" s="38">
        <f>IFERROR([@ObsClosed]/[@ObsRaised],0)</f>
        <v/>
      </c>
    </row>
    <row r="342">
      <c r="A342" s="33" t="n">
        <v>45992</v>
      </c>
      <c r="B342" s="28">
        <f>YEAR([@Period])</f>
        <v/>
      </c>
      <c r="C342" s="28">
        <f>TEXT([@Period],"mmm")</f>
        <v/>
      </c>
      <c r="D342" s="30">
        <f>MONTH([@Period])</f>
        <v/>
      </c>
      <c r="E342" s="28" t="inlineStr">
        <is>
          <t>Fuel Farm</t>
        </is>
      </c>
      <c r="F342" s="28" t="inlineStr">
        <is>
          <t>Engineering</t>
        </is>
      </c>
      <c r="G342" s="28" t="inlineStr">
        <is>
          <t>Owner (Asanko)</t>
        </is>
      </c>
      <c r="H342" s="34" t="n">
        <v>1850</v>
      </c>
      <c r="I342" s="35" t="n">
        <v>0</v>
      </c>
      <c r="J342" s="35" t="n">
        <v>1</v>
      </c>
      <c r="K342" s="35" t="n">
        <v>3</v>
      </c>
      <c r="L342" s="35" t="n">
        <v>2</v>
      </c>
      <c r="M342" s="35" t="n">
        <v>2</v>
      </c>
      <c r="N342" s="35" t="n">
        <v>2</v>
      </c>
      <c r="O342" s="36" t="n">
        <v>0.961</v>
      </c>
      <c r="P342" s="35" t="n">
        <v>0</v>
      </c>
      <c r="Q342" s="35" t="n">
        <v>6</v>
      </c>
      <c r="R342" s="35" t="n">
        <v>3</v>
      </c>
      <c r="S342" s="35" t="n">
        <v>3</v>
      </c>
      <c r="T342" s="37" t="n">
        <v>0.88</v>
      </c>
      <c r="U342" s="38">
        <f>IFERROR([@InspDone]/[@InspPlanned],0)</f>
        <v/>
      </c>
      <c r="V342" s="38">
        <f>IFERROR([@ObsClosed]/[@ObsRaised],0)</f>
        <v/>
      </c>
    </row>
    <row r="343">
      <c r="A343" s="33" t="n">
        <v>45992</v>
      </c>
      <c r="B343" s="28">
        <f>YEAR([@Period])</f>
        <v/>
      </c>
      <c r="C343" s="28">
        <f>TEXT([@Period],"mmm")</f>
        <v/>
      </c>
      <c r="D343" s="30">
        <f>MONTH([@Period])</f>
        <v/>
      </c>
      <c r="E343" s="28" t="inlineStr">
        <is>
          <t>Power Station</t>
        </is>
      </c>
      <c r="F343" s="28" t="inlineStr">
        <is>
          <t>Engineering</t>
        </is>
      </c>
      <c r="G343" s="28" t="inlineStr">
        <is>
          <t>Genser (Power)</t>
        </is>
      </c>
      <c r="H343" s="34" t="n">
        <v>4598</v>
      </c>
      <c r="I343" s="35" t="n">
        <v>2</v>
      </c>
      <c r="J343" s="35" t="n">
        <v>1</v>
      </c>
      <c r="K343" s="35" t="n">
        <v>2</v>
      </c>
      <c r="L343" s="35" t="n">
        <v>2</v>
      </c>
      <c r="M343" s="35" t="n">
        <v>2</v>
      </c>
      <c r="N343" s="35" t="n">
        <v>2</v>
      </c>
      <c r="O343" s="36" t="n">
        <v>0.925</v>
      </c>
      <c r="P343" s="35" t="n">
        <v>0</v>
      </c>
      <c r="Q343" s="35" t="n">
        <v>4</v>
      </c>
      <c r="R343" s="35" t="n">
        <v>3</v>
      </c>
      <c r="S343" s="35" t="n">
        <v>3</v>
      </c>
      <c r="T343" s="37" t="n">
        <v>0.918</v>
      </c>
      <c r="U343" s="38">
        <f>IFERROR([@InspDone]/[@InspPlanned],0)</f>
        <v/>
      </c>
      <c r="V343" s="38">
        <f>IFERROR([@ObsClosed]/[@ObsRaised],0)</f>
        <v/>
      </c>
    </row>
    <row r="344">
      <c r="A344" s="33" t="n">
        <v>45992</v>
      </c>
      <c r="B344" s="28">
        <f>YEAR([@Period])</f>
        <v/>
      </c>
      <c r="C344" s="28">
        <f>TEXT([@Period],"mmm")</f>
        <v/>
      </c>
      <c r="D344" s="30">
        <f>MONTH([@Period])</f>
        <v/>
      </c>
      <c r="E344" s="28" t="inlineStr">
        <is>
          <t>Warehouse &amp; Stores</t>
        </is>
      </c>
      <c r="F344" s="28" t="inlineStr">
        <is>
          <t>Logistics</t>
        </is>
      </c>
      <c r="G344" s="28" t="inlineStr">
        <is>
          <t>Owner (Asanko)</t>
        </is>
      </c>
      <c r="H344" s="34" t="n">
        <v>4848</v>
      </c>
      <c r="I344" s="35" t="n">
        <v>2</v>
      </c>
      <c r="J344" s="35" t="n">
        <v>0</v>
      </c>
      <c r="K344" s="35" t="n">
        <v>2</v>
      </c>
      <c r="L344" s="35" t="n">
        <v>2</v>
      </c>
      <c r="M344" s="35" t="n">
        <v>2</v>
      </c>
      <c r="N344" s="35" t="n">
        <v>2</v>
      </c>
      <c r="O344" s="36" t="n">
        <v>0.987</v>
      </c>
      <c r="P344" s="35" t="n">
        <v>0</v>
      </c>
      <c r="Q344" s="35" t="n">
        <v>3</v>
      </c>
      <c r="R344" s="35" t="n">
        <v>4</v>
      </c>
      <c r="S344" s="35" t="n">
        <v>4</v>
      </c>
      <c r="T344" s="37" t="n">
        <v>0.927</v>
      </c>
      <c r="U344" s="38">
        <f>IFERROR([@InspDone]/[@InspPlanned],0)</f>
        <v/>
      </c>
      <c r="V344" s="38">
        <f>IFERROR([@ObsClosed]/[@ObsRaised],0)</f>
        <v/>
      </c>
    </row>
    <row r="345">
      <c r="A345" s="33" t="n">
        <v>45992</v>
      </c>
      <c r="B345" s="28">
        <f>YEAR([@Period])</f>
        <v/>
      </c>
      <c r="C345" s="28">
        <f>TEXT([@Period],"mmm")</f>
        <v/>
      </c>
      <c r="D345" s="30">
        <f>MONTH([@Period])</f>
        <v/>
      </c>
      <c r="E345" s="28" t="inlineStr">
        <is>
          <t>Administration</t>
        </is>
      </c>
      <c r="F345" s="28" t="inlineStr">
        <is>
          <t>Administration</t>
        </is>
      </c>
      <c r="G345" s="28" t="inlineStr">
        <is>
          <t>Owner (Asanko)</t>
        </is>
      </c>
      <c r="H345" s="34" t="n">
        <v>11940</v>
      </c>
      <c r="I345" s="35" t="n">
        <v>5</v>
      </c>
      <c r="J345" s="35" t="n">
        <v>3</v>
      </c>
      <c r="K345" s="35" t="n">
        <v>5</v>
      </c>
      <c r="L345" s="35" t="n">
        <v>4</v>
      </c>
      <c r="M345" s="35" t="n">
        <v>3</v>
      </c>
      <c r="N345" s="35" t="n">
        <v>3</v>
      </c>
      <c r="O345" s="36" t="n">
        <v>0.929</v>
      </c>
      <c r="P345" s="35" t="n">
        <v>1</v>
      </c>
      <c r="Q345" s="35" t="n">
        <v>5</v>
      </c>
      <c r="R345" s="35" t="n">
        <v>10</v>
      </c>
      <c r="S345" s="35" t="n">
        <v>9</v>
      </c>
      <c r="T345" s="37" t="n">
        <v>0.997</v>
      </c>
      <c r="U345" s="38">
        <f>IFERROR([@InspDone]/[@InspPlanned],0)</f>
        <v/>
      </c>
      <c r="V345" s="38">
        <f>IFERROR([@ObsClosed]/[@ObsRaised],0)</f>
        <v/>
      </c>
    </row>
    <row r="346">
      <c r="A346" s="33" t="n">
        <v>45992</v>
      </c>
      <c r="B346" s="28">
        <f>YEAR([@Period])</f>
        <v/>
      </c>
      <c r="C346" s="28">
        <f>TEXT([@Period],"mmm")</f>
        <v/>
      </c>
      <c r="D346" s="30">
        <f>MONTH([@Period])</f>
        <v/>
      </c>
      <c r="E346" s="28" t="inlineStr">
        <is>
          <t>Accommodation Camp</t>
        </is>
      </c>
      <c r="F346" s="28" t="inlineStr">
        <is>
          <t>Administration</t>
        </is>
      </c>
      <c r="G346" s="28" t="inlineStr">
        <is>
          <t>Catering Co (Camp)</t>
        </is>
      </c>
      <c r="H346" s="34" t="n">
        <v>6330</v>
      </c>
      <c r="I346" s="35" t="n">
        <v>0</v>
      </c>
      <c r="J346" s="35" t="n">
        <v>1</v>
      </c>
      <c r="K346" s="35" t="n">
        <v>1</v>
      </c>
      <c r="L346" s="35" t="n">
        <v>1</v>
      </c>
      <c r="M346" s="35" t="n">
        <v>2</v>
      </c>
      <c r="N346" s="35" t="n">
        <v>2</v>
      </c>
      <c r="O346" s="36" t="n">
        <v>0.9</v>
      </c>
      <c r="P346" s="35" t="n">
        <v>1</v>
      </c>
      <c r="Q346" s="35" t="n">
        <v>1</v>
      </c>
      <c r="R346" s="35" t="n">
        <v>5</v>
      </c>
      <c r="S346" s="35" t="n">
        <v>5</v>
      </c>
      <c r="T346" s="37" t="n">
        <v>0.888</v>
      </c>
      <c r="U346" s="38">
        <f>IFERROR([@InspDone]/[@InspPlanned],0)</f>
        <v/>
      </c>
      <c r="V346" s="38">
        <f>IFERROR([@ObsClosed]/[@ObsRaised],0)</f>
        <v/>
      </c>
    </row>
    <row r="347">
      <c r="A347" s="33" t="n">
        <v>45992</v>
      </c>
      <c r="B347" s="28">
        <f>YEAR([@Period])</f>
        <v/>
      </c>
      <c r="C347" s="28">
        <f>TEXT([@Period],"mmm")</f>
        <v/>
      </c>
      <c r="D347" s="30">
        <f>MONTH([@Period])</f>
        <v/>
      </c>
      <c r="E347" s="28" t="inlineStr">
        <is>
          <t>Security Gatehouse</t>
        </is>
      </c>
      <c r="F347" s="28" t="inlineStr">
        <is>
          <t>Security</t>
        </is>
      </c>
      <c r="G347" s="28" t="inlineStr">
        <is>
          <t>G4S (Security)</t>
        </is>
      </c>
      <c r="H347" s="34" t="n">
        <v>8325</v>
      </c>
      <c r="I347" s="35" t="n">
        <v>1</v>
      </c>
      <c r="J347" s="35" t="n">
        <v>1</v>
      </c>
      <c r="K347" s="35" t="n">
        <v>4</v>
      </c>
      <c r="L347" s="35" t="n">
        <v>4</v>
      </c>
      <c r="M347" s="35" t="n">
        <v>2</v>
      </c>
      <c r="N347" s="35" t="n">
        <v>2</v>
      </c>
      <c r="O347" s="36" t="n">
        <v>0.96</v>
      </c>
      <c r="P347" s="35" t="n">
        <v>0</v>
      </c>
      <c r="Q347" s="35" t="n">
        <v>1</v>
      </c>
      <c r="R347" s="35" t="n">
        <v>7</v>
      </c>
      <c r="S347" s="35" t="n">
        <v>7</v>
      </c>
      <c r="T347" s="37" t="n">
        <v>0.952</v>
      </c>
      <c r="U347" s="38">
        <f>IFERROR([@InspDone]/[@InspPlanned],0)</f>
        <v/>
      </c>
      <c r="V347" s="38">
        <f>IFERROR([@ObsClosed]/[@ObsRaised],0)</f>
        <v/>
      </c>
    </row>
    <row r="348">
      <c r="A348" s="33" t="n">
        <v>46023</v>
      </c>
      <c r="B348" s="28">
        <f>YEAR([@Period])</f>
        <v/>
      </c>
      <c r="C348" s="28">
        <f>TEXT([@Period],"mmm")</f>
        <v/>
      </c>
      <c r="D348" s="30">
        <f>MONTH([@Period])</f>
        <v/>
      </c>
      <c r="E348" s="28" t="inlineStr">
        <is>
          <t>Nkran Open Pit</t>
        </is>
      </c>
      <c r="F348" s="28" t="inlineStr">
        <is>
          <t>Mining</t>
        </is>
      </c>
      <c r="G348" s="28" t="inlineStr">
        <is>
          <t>AUMS (Mining Contractor)</t>
        </is>
      </c>
      <c r="H348" s="34" t="n">
        <v>23760</v>
      </c>
      <c r="I348" s="35" t="n">
        <v>6</v>
      </c>
      <c r="J348" s="35" t="n">
        <v>5</v>
      </c>
      <c r="K348" s="35" t="n">
        <v>9</v>
      </c>
      <c r="L348" s="35" t="n">
        <v>8</v>
      </c>
      <c r="M348" s="35" t="n">
        <v>6</v>
      </c>
      <c r="N348" s="35" t="n">
        <v>6</v>
      </c>
      <c r="O348" s="36" t="n">
        <v>0.931</v>
      </c>
      <c r="P348" s="35" t="n">
        <v>1</v>
      </c>
      <c r="Q348" s="35" t="n">
        <v>9</v>
      </c>
      <c r="R348" s="35" t="n">
        <v>20</v>
      </c>
      <c r="S348" s="35" t="n">
        <v>19</v>
      </c>
      <c r="T348" s="37" t="n">
        <v>0.885</v>
      </c>
      <c r="U348" s="38">
        <f>IFERROR([@InspDone]/[@InspPlanned],0)</f>
        <v/>
      </c>
      <c r="V348" s="38">
        <f>IFERROR([@ObsClosed]/[@ObsRaised],0)</f>
        <v/>
      </c>
    </row>
    <row r="349">
      <c r="A349" s="33" t="n">
        <v>46023</v>
      </c>
      <c r="B349" s="28">
        <f>YEAR([@Period])</f>
        <v/>
      </c>
      <c r="C349" s="28">
        <f>TEXT([@Period],"mmm")</f>
        <v/>
      </c>
      <c r="D349" s="30">
        <f>MONTH([@Period])</f>
        <v/>
      </c>
      <c r="E349" s="28" t="inlineStr">
        <is>
          <t>Esaase Open Pit</t>
        </is>
      </c>
      <c r="F349" s="28" t="inlineStr">
        <is>
          <t>Mining</t>
        </is>
      </c>
      <c r="G349" s="28" t="inlineStr">
        <is>
          <t>AUMS (Mining Contractor)</t>
        </is>
      </c>
      <c r="H349" s="34" t="n">
        <v>22110</v>
      </c>
      <c r="I349" s="35" t="n">
        <v>3</v>
      </c>
      <c r="J349" s="35" t="n">
        <v>4</v>
      </c>
      <c r="K349" s="35" t="n">
        <v>11</v>
      </c>
      <c r="L349" s="35" t="n">
        <v>9</v>
      </c>
      <c r="M349" s="35" t="n">
        <v>6</v>
      </c>
      <c r="N349" s="35" t="n">
        <v>6</v>
      </c>
      <c r="O349" s="36" t="n">
        <v>0.907</v>
      </c>
      <c r="P349" s="35" t="n">
        <v>1</v>
      </c>
      <c r="Q349" s="35" t="n">
        <v>8</v>
      </c>
      <c r="R349" s="35" t="n">
        <v>18</v>
      </c>
      <c r="S349" s="35" t="n">
        <v>17</v>
      </c>
      <c r="T349" s="37" t="n">
        <v>0.963</v>
      </c>
      <c r="U349" s="38">
        <f>IFERROR([@InspDone]/[@InspPlanned],0)</f>
        <v/>
      </c>
      <c r="V349" s="38">
        <f>IFERROR([@ObsClosed]/[@ObsRaised],0)</f>
        <v/>
      </c>
    </row>
    <row r="350">
      <c r="A350" s="33" t="n">
        <v>46023</v>
      </c>
      <c r="B350" s="28">
        <f>YEAR([@Period])</f>
        <v/>
      </c>
      <c r="C350" s="28">
        <f>TEXT([@Period],"mmm")</f>
        <v/>
      </c>
      <c r="D350" s="30">
        <f>MONTH([@Period])</f>
        <v/>
      </c>
      <c r="E350" s="28" t="inlineStr">
        <is>
          <t>Drill &amp; Blast</t>
        </is>
      </c>
      <c r="F350" s="28" t="inlineStr">
        <is>
          <t>Mining</t>
        </is>
      </c>
      <c r="G350" s="28" t="inlineStr">
        <is>
          <t>Maxam (Blasting)</t>
        </is>
      </c>
      <c r="H350" s="34" t="n">
        <v>8280</v>
      </c>
      <c r="I350" s="35" t="n">
        <v>1</v>
      </c>
      <c r="J350" s="35" t="n">
        <v>3</v>
      </c>
      <c r="K350" s="35" t="n">
        <v>3</v>
      </c>
      <c r="L350" s="35" t="n">
        <v>3</v>
      </c>
      <c r="M350" s="35" t="n">
        <v>2</v>
      </c>
      <c r="N350" s="35" t="n">
        <v>2</v>
      </c>
      <c r="O350" s="36" t="n">
        <v>0.909</v>
      </c>
      <c r="P350" s="35" t="n">
        <v>1</v>
      </c>
      <c r="Q350" s="35" t="n">
        <v>2</v>
      </c>
      <c r="R350" s="35" t="n">
        <v>6</v>
      </c>
      <c r="S350" s="35" t="n">
        <v>6</v>
      </c>
      <c r="T350" s="37" t="n">
        <v>0.991</v>
      </c>
      <c r="U350" s="38">
        <f>IFERROR([@InspDone]/[@InspPlanned],0)</f>
        <v/>
      </c>
      <c r="V350" s="38">
        <f>IFERROR([@ObsClosed]/[@ObsRaised],0)</f>
        <v/>
      </c>
    </row>
    <row r="351">
      <c r="A351" s="33" t="n">
        <v>46023</v>
      </c>
      <c r="B351" s="28">
        <f>YEAR([@Period])</f>
        <v/>
      </c>
      <c r="C351" s="28">
        <f>TEXT([@Period],"mmm")</f>
        <v/>
      </c>
      <c r="D351" s="30">
        <f>MONTH([@Period])</f>
        <v/>
      </c>
      <c r="E351" s="28" t="inlineStr">
        <is>
          <t>Haul Roads</t>
        </is>
      </c>
      <c r="F351" s="28" t="inlineStr">
        <is>
          <t>Mining</t>
        </is>
      </c>
      <c r="G351" s="28" t="inlineStr">
        <is>
          <t>AUMS (Mining Contractor)</t>
        </is>
      </c>
      <c r="H351" s="34" t="n">
        <v>13680</v>
      </c>
      <c r="I351" s="35" t="n">
        <v>5</v>
      </c>
      <c r="J351" s="35" t="n">
        <v>4</v>
      </c>
      <c r="K351" s="35" t="n">
        <v>2</v>
      </c>
      <c r="L351" s="35" t="n">
        <v>2</v>
      </c>
      <c r="M351" s="35" t="n">
        <v>3</v>
      </c>
      <c r="N351" s="35" t="n">
        <v>3</v>
      </c>
      <c r="O351" s="36" t="n">
        <v>0.948</v>
      </c>
      <c r="P351" s="35" t="n">
        <v>0</v>
      </c>
      <c r="Q351" s="35" t="n">
        <v>9</v>
      </c>
      <c r="R351" s="35" t="n">
        <v>10</v>
      </c>
      <c r="S351" s="35" t="n">
        <v>9</v>
      </c>
      <c r="T351" s="37" t="n">
        <v>0.888</v>
      </c>
      <c r="U351" s="38">
        <f>IFERROR([@InspDone]/[@InspPlanned],0)</f>
        <v/>
      </c>
      <c r="V351" s="38">
        <f>IFERROR([@ObsClosed]/[@ObsRaised],0)</f>
        <v/>
      </c>
    </row>
    <row r="352">
      <c r="A352" s="33" t="n">
        <v>46023</v>
      </c>
      <c r="B352" s="28">
        <f>YEAR([@Period])</f>
        <v/>
      </c>
      <c r="C352" s="28">
        <f>TEXT([@Period],"mmm")</f>
        <v/>
      </c>
      <c r="D352" s="30">
        <f>MONTH([@Period])</f>
        <v/>
      </c>
      <c r="E352" s="28" t="inlineStr">
        <is>
          <t>Explosives Magazine</t>
        </is>
      </c>
      <c r="F352" s="28" t="inlineStr">
        <is>
          <t>Mining</t>
        </is>
      </c>
      <c r="G352" s="28" t="inlineStr">
        <is>
          <t>Maxam (Blasting)</t>
        </is>
      </c>
      <c r="H352" s="34" t="n">
        <v>3240</v>
      </c>
      <c r="I352" s="35" t="n">
        <v>1</v>
      </c>
      <c r="J352" s="35" t="n">
        <v>1</v>
      </c>
      <c r="K352" s="35" t="n">
        <v>3</v>
      </c>
      <c r="L352" s="35" t="n">
        <v>2</v>
      </c>
      <c r="M352" s="35" t="n">
        <v>2</v>
      </c>
      <c r="N352" s="35" t="n">
        <v>2</v>
      </c>
      <c r="O352" s="36" t="n">
        <v>0.899</v>
      </c>
      <c r="P352" s="35" t="n">
        <v>1</v>
      </c>
      <c r="Q352" s="35" t="n">
        <v>3</v>
      </c>
      <c r="R352" s="35" t="n">
        <v>3</v>
      </c>
      <c r="S352" s="35" t="n">
        <v>3</v>
      </c>
      <c r="T352" s="37" t="n">
        <v>0.953</v>
      </c>
      <c r="U352" s="38">
        <f>IFERROR([@InspDone]/[@InspPlanned],0)</f>
        <v/>
      </c>
      <c r="V352" s="38">
        <f>IFERROR([@ObsClosed]/[@ObsRaised],0)</f>
        <v/>
      </c>
    </row>
    <row r="353">
      <c r="A353" s="33" t="n">
        <v>46023</v>
      </c>
      <c r="B353" s="28">
        <f>YEAR([@Period])</f>
        <v/>
      </c>
      <c r="C353" s="28">
        <f>TEXT([@Period],"mmm")</f>
        <v/>
      </c>
      <c r="D353" s="30">
        <f>MONTH([@Period])</f>
        <v/>
      </c>
      <c r="E353" s="28" t="inlineStr">
        <is>
          <t>Crushing Circuit</t>
        </is>
      </c>
      <c r="F353" s="28" t="inlineStr">
        <is>
          <t>Processing</t>
        </is>
      </c>
      <c r="G353" s="28" t="inlineStr">
        <is>
          <t>Owner (Asanko)</t>
        </is>
      </c>
      <c r="H353" s="34" t="n">
        <v>7875</v>
      </c>
      <c r="I353" s="35" t="n">
        <v>0</v>
      </c>
      <c r="J353" s="35" t="n">
        <v>3</v>
      </c>
      <c r="K353" s="35" t="n">
        <v>3</v>
      </c>
      <c r="L353" s="35" t="n">
        <v>3</v>
      </c>
      <c r="M353" s="35" t="n">
        <v>2</v>
      </c>
      <c r="N353" s="35" t="n">
        <v>2</v>
      </c>
      <c r="O353" s="36" t="n">
        <v>0.898</v>
      </c>
      <c r="P353" s="35" t="n">
        <v>1</v>
      </c>
      <c r="Q353" s="35" t="n">
        <v>1</v>
      </c>
      <c r="R353" s="35" t="n">
        <v>5</v>
      </c>
      <c r="S353" s="35" t="n">
        <v>5</v>
      </c>
      <c r="T353" s="37" t="n">
        <v>0.927</v>
      </c>
      <c r="U353" s="38">
        <f>IFERROR([@InspDone]/[@InspPlanned],0)</f>
        <v/>
      </c>
      <c r="V353" s="38">
        <f>IFERROR([@ObsClosed]/[@ObsRaised],0)</f>
        <v/>
      </c>
    </row>
    <row r="354">
      <c r="A354" s="33" t="n">
        <v>46023</v>
      </c>
      <c r="B354" s="28">
        <f>YEAR([@Period])</f>
        <v/>
      </c>
      <c r="C354" s="28">
        <f>TEXT([@Period],"mmm")</f>
        <v/>
      </c>
      <c r="D354" s="30">
        <f>MONTH([@Period])</f>
        <v/>
      </c>
      <c r="E354" s="28" t="inlineStr">
        <is>
          <t>Processing Plant (CIL)</t>
        </is>
      </c>
      <c r="F354" s="28" t="inlineStr">
        <is>
          <t>Processing</t>
        </is>
      </c>
      <c r="G354" s="28" t="inlineStr">
        <is>
          <t>Owner (Asanko)</t>
        </is>
      </c>
      <c r="H354" s="34" t="n">
        <v>16740</v>
      </c>
      <c r="I354" s="35" t="n">
        <v>5</v>
      </c>
      <c r="J354" s="35" t="n">
        <v>3</v>
      </c>
      <c r="K354" s="35" t="n">
        <v>12</v>
      </c>
      <c r="L354" s="35" t="n">
        <v>10</v>
      </c>
      <c r="M354" s="35" t="n">
        <v>5</v>
      </c>
      <c r="N354" s="35" t="n">
        <v>5</v>
      </c>
      <c r="O354" s="36" t="n">
        <v>0.966</v>
      </c>
      <c r="P354" s="35" t="n">
        <v>0</v>
      </c>
      <c r="Q354" s="35" t="n">
        <v>8</v>
      </c>
      <c r="R354" s="35" t="n">
        <v>15</v>
      </c>
      <c r="S354" s="35" t="n">
        <v>15</v>
      </c>
      <c r="T354" s="37" t="n">
        <v>0.922</v>
      </c>
      <c r="U354" s="38">
        <f>IFERROR([@InspDone]/[@InspPlanned],0)</f>
        <v/>
      </c>
      <c r="V354" s="38">
        <f>IFERROR([@ObsClosed]/[@ObsRaised],0)</f>
        <v/>
      </c>
    </row>
    <row r="355">
      <c r="A355" s="33" t="n">
        <v>46023</v>
      </c>
      <c r="B355" s="28">
        <f>YEAR([@Period])</f>
        <v/>
      </c>
      <c r="C355" s="28">
        <f>TEXT([@Period],"mmm")</f>
        <v/>
      </c>
      <c r="D355" s="30">
        <f>MONTH([@Period])</f>
        <v/>
      </c>
      <c r="E355" s="28" t="inlineStr">
        <is>
          <t>Elution &amp; Gold Room</t>
        </is>
      </c>
      <c r="F355" s="28" t="inlineStr">
        <is>
          <t>Processing</t>
        </is>
      </c>
      <c r="G355" s="28" t="inlineStr">
        <is>
          <t>Owner (Asanko)</t>
        </is>
      </c>
      <c r="H355" s="34" t="n">
        <v>4320</v>
      </c>
      <c r="I355" s="35" t="n">
        <v>2</v>
      </c>
      <c r="J355" s="35" t="n">
        <v>0</v>
      </c>
      <c r="K355" s="35" t="n">
        <v>3</v>
      </c>
      <c r="L355" s="35" t="n">
        <v>2</v>
      </c>
      <c r="M355" s="35" t="n">
        <v>2</v>
      </c>
      <c r="N355" s="35" t="n">
        <v>2</v>
      </c>
      <c r="O355" s="36" t="n">
        <v>0.961</v>
      </c>
      <c r="P355" s="35" t="n">
        <v>0</v>
      </c>
      <c r="Q355" s="35" t="n">
        <v>1</v>
      </c>
      <c r="R355" s="35" t="n">
        <v>3</v>
      </c>
      <c r="S355" s="35" t="n">
        <v>3</v>
      </c>
      <c r="T355" s="37" t="n">
        <v>0.97</v>
      </c>
      <c r="U355" s="38">
        <f>IFERROR([@InspDone]/[@InspPlanned],0)</f>
        <v/>
      </c>
      <c r="V355" s="38">
        <f>IFERROR([@ObsClosed]/[@ObsRaised],0)</f>
        <v/>
      </c>
    </row>
    <row r="356">
      <c r="A356" s="33" t="n">
        <v>46023</v>
      </c>
      <c r="B356" s="28">
        <f>YEAR([@Period])</f>
        <v/>
      </c>
      <c r="C356" s="28">
        <f>TEXT([@Period],"mmm")</f>
        <v/>
      </c>
      <c r="D356" s="30">
        <f>MONTH([@Period])</f>
        <v/>
      </c>
      <c r="E356" s="28" t="inlineStr">
        <is>
          <t>Tailings Storage Facility</t>
        </is>
      </c>
      <c r="F356" s="28" t="inlineStr">
        <is>
          <t>Environment</t>
        </is>
      </c>
      <c r="G356" s="28" t="inlineStr">
        <is>
          <t>Owner (Asanko)</t>
        </is>
      </c>
      <c r="H356" s="34" t="n">
        <v>3978</v>
      </c>
      <c r="I356" s="35" t="n">
        <v>2</v>
      </c>
      <c r="J356" s="35" t="n">
        <v>2</v>
      </c>
      <c r="K356" s="35" t="n">
        <v>0</v>
      </c>
      <c r="L356" s="35" t="n">
        <v>0</v>
      </c>
      <c r="M356" s="35" t="n">
        <v>2</v>
      </c>
      <c r="N356" s="35" t="n">
        <v>2</v>
      </c>
      <c r="O356" s="36" t="n">
        <v>0.9429999999999999</v>
      </c>
      <c r="P356" s="35" t="n">
        <v>0</v>
      </c>
      <c r="Q356" s="35" t="n">
        <v>3</v>
      </c>
      <c r="R356" s="35" t="n">
        <v>3</v>
      </c>
      <c r="S356" s="35" t="n">
        <v>3</v>
      </c>
      <c r="T356" s="37" t="n">
        <v>0.945</v>
      </c>
      <c r="U356" s="38">
        <f>IFERROR([@InspDone]/[@InspPlanned],0)</f>
        <v/>
      </c>
      <c r="V356" s="38">
        <f>IFERROR([@ObsClosed]/[@ObsRaised],0)</f>
        <v/>
      </c>
    </row>
    <row r="357">
      <c r="A357" s="33" t="n">
        <v>46023</v>
      </c>
      <c r="B357" s="28">
        <f>YEAR([@Period])</f>
        <v/>
      </c>
      <c r="C357" s="28">
        <f>TEXT([@Period],"mmm")</f>
        <v/>
      </c>
      <c r="D357" s="30">
        <f>MONTH([@Period])</f>
        <v/>
      </c>
      <c r="E357" s="28" t="inlineStr">
        <is>
          <t>Water Treatment</t>
        </is>
      </c>
      <c r="F357" s="28" t="inlineStr">
        <is>
          <t>Environment</t>
        </is>
      </c>
      <c r="G357" s="28" t="inlineStr">
        <is>
          <t>Owner (Asanko)</t>
        </is>
      </c>
      <c r="H357" s="34" t="n">
        <v>2712</v>
      </c>
      <c r="I357" s="35" t="n">
        <v>2</v>
      </c>
      <c r="J357" s="35" t="n">
        <v>2</v>
      </c>
      <c r="K357" s="35" t="n">
        <v>1</v>
      </c>
      <c r="L357" s="35" t="n">
        <v>1</v>
      </c>
      <c r="M357" s="35" t="n">
        <v>2</v>
      </c>
      <c r="N357" s="35" t="n">
        <v>2</v>
      </c>
      <c r="O357" s="36" t="n">
        <v>0.947</v>
      </c>
      <c r="P357" s="35" t="n">
        <v>0</v>
      </c>
      <c r="Q357" s="35" t="n">
        <v>2</v>
      </c>
      <c r="R357" s="35" t="n">
        <v>3</v>
      </c>
      <c r="S357" s="35" t="n">
        <v>3</v>
      </c>
      <c r="T357" s="37" t="n">
        <v>0.928</v>
      </c>
      <c r="U357" s="38">
        <f>IFERROR([@InspDone]/[@InspPlanned],0)</f>
        <v/>
      </c>
      <c r="V357" s="38">
        <f>IFERROR([@ObsClosed]/[@ObsRaised],0)</f>
        <v/>
      </c>
    </row>
    <row r="358">
      <c r="A358" s="33" t="n">
        <v>46023</v>
      </c>
      <c r="B358" s="28">
        <f>YEAR([@Period])</f>
        <v/>
      </c>
      <c r="C358" s="28">
        <f>TEXT([@Period],"mmm")</f>
        <v/>
      </c>
      <c r="D358" s="30">
        <f>MONTH([@Period])</f>
        <v/>
      </c>
      <c r="E358" s="28" t="inlineStr">
        <is>
          <t>Assay Laboratory</t>
        </is>
      </c>
      <c r="F358" s="28" t="inlineStr">
        <is>
          <t>Laboratory</t>
        </is>
      </c>
      <c r="G358" s="28" t="inlineStr">
        <is>
          <t>SGS (Laboratory)</t>
        </is>
      </c>
      <c r="H358" s="34" t="n">
        <v>5000</v>
      </c>
      <c r="I358" s="35" t="n">
        <v>0</v>
      </c>
      <c r="J358" s="35" t="n">
        <v>2</v>
      </c>
      <c r="K358" s="35" t="n">
        <v>3</v>
      </c>
      <c r="L358" s="35" t="n">
        <v>2</v>
      </c>
      <c r="M358" s="35" t="n">
        <v>2</v>
      </c>
      <c r="N358" s="35" t="n">
        <v>2</v>
      </c>
      <c r="O358" s="36" t="n">
        <v>0.984</v>
      </c>
      <c r="P358" s="35" t="n">
        <v>1</v>
      </c>
      <c r="Q358" s="35" t="n">
        <v>3</v>
      </c>
      <c r="R358" s="35" t="n">
        <v>4</v>
      </c>
      <c r="S358" s="35" t="n">
        <v>4</v>
      </c>
      <c r="T358" s="37" t="n">
        <v>0.961</v>
      </c>
      <c r="U358" s="38">
        <f>IFERROR([@InspDone]/[@InspPlanned],0)</f>
        <v/>
      </c>
      <c r="V358" s="38">
        <f>IFERROR([@ObsClosed]/[@ObsRaised],0)</f>
        <v/>
      </c>
    </row>
    <row r="359">
      <c r="A359" s="33" t="n">
        <v>46023</v>
      </c>
      <c r="B359" s="28">
        <f>YEAR([@Period])</f>
        <v/>
      </c>
      <c r="C359" s="28">
        <f>TEXT([@Period],"mmm")</f>
        <v/>
      </c>
      <c r="D359" s="30">
        <f>MONTH([@Period])</f>
        <v/>
      </c>
      <c r="E359" s="28" t="inlineStr">
        <is>
          <t>HME Workshop</t>
        </is>
      </c>
      <c r="F359" s="28" t="inlineStr">
        <is>
          <t>Engineering</t>
        </is>
      </c>
      <c r="G359" s="28" t="inlineStr">
        <is>
          <t>Owner (Asanko)</t>
        </is>
      </c>
      <c r="H359" s="34" t="n">
        <v>12155</v>
      </c>
      <c r="I359" s="35" t="n">
        <v>2</v>
      </c>
      <c r="J359" s="35" t="n">
        <v>3</v>
      </c>
      <c r="K359" s="35" t="n">
        <v>4</v>
      </c>
      <c r="L359" s="35" t="n">
        <v>3</v>
      </c>
      <c r="M359" s="35" t="n">
        <v>3</v>
      </c>
      <c r="N359" s="35" t="n">
        <v>3</v>
      </c>
      <c r="O359" s="36" t="n">
        <v>0.904</v>
      </c>
      <c r="P359" s="35" t="n">
        <v>0</v>
      </c>
      <c r="Q359" s="35" t="n">
        <v>9</v>
      </c>
      <c r="R359" s="35" t="n">
        <v>9</v>
      </c>
      <c r="S359" s="35" t="n">
        <v>8</v>
      </c>
      <c r="T359" s="37" t="n">
        <v>0.901</v>
      </c>
      <c r="U359" s="38">
        <f>IFERROR([@InspDone]/[@InspPlanned],0)</f>
        <v/>
      </c>
      <c r="V359" s="38">
        <f>IFERROR([@ObsClosed]/[@ObsRaised],0)</f>
        <v/>
      </c>
    </row>
    <row r="360">
      <c r="A360" s="33" t="n">
        <v>46023</v>
      </c>
      <c r="B360" s="28">
        <f>YEAR([@Period])</f>
        <v/>
      </c>
      <c r="C360" s="28">
        <f>TEXT([@Period],"mmm")</f>
        <v/>
      </c>
      <c r="D360" s="30">
        <f>MONTH([@Period])</f>
        <v/>
      </c>
      <c r="E360" s="28" t="inlineStr">
        <is>
          <t>Fuel Farm</t>
        </is>
      </c>
      <c r="F360" s="28" t="inlineStr">
        <is>
          <t>Engineering</t>
        </is>
      </c>
      <c r="G360" s="28" t="inlineStr">
        <is>
          <t>Owner (Asanko)</t>
        </is>
      </c>
      <c r="H360" s="34" t="n">
        <v>1960</v>
      </c>
      <c r="I360" s="35" t="n">
        <v>2</v>
      </c>
      <c r="J360" s="35" t="n">
        <v>2</v>
      </c>
      <c r="K360" s="35" t="n">
        <v>2</v>
      </c>
      <c r="L360" s="35" t="n">
        <v>2</v>
      </c>
      <c r="M360" s="35" t="n">
        <v>2</v>
      </c>
      <c r="N360" s="35" t="n">
        <v>2</v>
      </c>
      <c r="O360" s="36" t="n">
        <v>0.967</v>
      </c>
      <c r="P360" s="35" t="n">
        <v>0</v>
      </c>
      <c r="Q360" s="35" t="n">
        <v>3</v>
      </c>
      <c r="R360" s="35" t="n">
        <v>3</v>
      </c>
      <c r="S360" s="35" t="n">
        <v>3</v>
      </c>
      <c r="T360" s="37" t="n">
        <v>0.98</v>
      </c>
      <c r="U360" s="38">
        <f>IFERROR([@InspDone]/[@InspPlanned],0)</f>
        <v/>
      </c>
      <c r="V360" s="38">
        <f>IFERROR([@ObsClosed]/[@ObsRaised],0)</f>
        <v/>
      </c>
    </row>
    <row r="361">
      <c r="A361" s="33" t="n">
        <v>46023</v>
      </c>
      <c r="B361" s="28">
        <f>YEAR([@Period])</f>
        <v/>
      </c>
      <c r="C361" s="28">
        <f>TEXT([@Period],"mmm")</f>
        <v/>
      </c>
      <c r="D361" s="30">
        <f>MONTH([@Period])</f>
        <v/>
      </c>
      <c r="E361" s="28" t="inlineStr">
        <is>
          <t>Power Station</t>
        </is>
      </c>
      <c r="F361" s="28" t="inlineStr">
        <is>
          <t>Engineering</t>
        </is>
      </c>
      <c r="G361" s="28" t="inlineStr">
        <is>
          <t>Genser (Power)</t>
        </is>
      </c>
      <c r="H361" s="34" t="n">
        <v>4708</v>
      </c>
      <c r="I361" s="35" t="n">
        <v>1</v>
      </c>
      <c r="J361" s="35" t="n">
        <v>3</v>
      </c>
      <c r="K361" s="35" t="n">
        <v>2</v>
      </c>
      <c r="L361" s="35" t="n">
        <v>2</v>
      </c>
      <c r="M361" s="35" t="n">
        <v>2</v>
      </c>
      <c r="N361" s="35" t="n">
        <v>2</v>
      </c>
      <c r="O361" s="36" t="n">
        <v>0.988</v>
      </c>
      <c r="P361" s="35" t="n">
        <v>1</v>
      </c>
      <c r="Q361" s="35" t="n">
        <v>2</v>
      </c>
      <c r="R361" s="35" t="n">
        <v>3</v>
      </c>
      <c r="S361" s="35" t="n">
        <v>3</v>
      </c>
      <c r="T361" s="37" t="n">
        <v>0.981</v>
      </c>
      <c r="U361" s="38">
        <f>IFERROR([@InspDone]/[@InspPlanned],0)</f>
        <v/>
      </c>
      <c r="V361" s="38">
        <f>IFERROR([@ObsClosed]/[@ObsRaised],0)</f>
        <v/>
      </c>
    </row>
    <row r="362">
      <c r="A362" s="33" t="n">
        <v>46023</v>
      </c>
      <c r="B362" s="28">
        <f>YEAR([@Period])</f>
        <v/>
      </c>
      <c r="C362" s="28">
        <f>TEXT([@Period],"mmm")</f>
        <v/>
      </c>
      <c r="D362" s="30">
        <f>MONTH([@Period])</f>
        <v/>
      </c>
      <c r="E362" s="28" t="inlineStr">
        <is>
          <t>Warehouse &amp; Stores</t>
        </is>
      </c>
      <c r="F362" s="28" t="inlineStr">
        <is>
          <t>Logistics</t>
        </is>
      </c>
      <c r="G362" s="28" t="inlineStr">
        <is>
          <t>Owner (Asanko)</t>
        </is>
      </c>
      <c r="H362" s="34" t="n">
        <v>4944</v>
      </c>
      <c r="I362" s="35" t="n">
        <v>1</v>
      </c>
      <c r="J362" s="35" t="n">
        <v>2</v>
      </c>
      <c r="K362" s="35" t="n">
        <v>2</v>
      </c>
      <c r="L362" s="35" t="n">
        <v>2</v>
      </c>
      <c r="M362" s="35" t="n">
        <v>2</v>
      </c>
      <c r="N362" s="35" t="n">
        <v>2</v>
      </c>
      <c r="O362" s="36" t="n">
        <v>0.954</v>
      </c>
      <c r="P362" s="35" t="n">
        <v>1</v>
      </c>
      <c r="Q362" s="35" t="n">
        <v>5</v>
      </c>
      <c r="R362" s="35" t="n">
        <v>4</v>
      </c>
      <c r="S362" s="35" t="n">
        <v>4</v>
      </c>
      <c r="T362" s="37" t="n">
        <v>0.917</v>
      </c>
      <c r="U362" s="38">
        <f>IFERROR([@InspDone]/[@InspPlanned],0)</f>
        <v/>
      </c>
      <c r="V362" s="38">
        <f>IFERROR([@ObsClosed]/[@ObsRaised],0)</f>
        <v/>
      </c>
    </row>
    <row r="363">
      <c r="A363" s="33" t="n">
        <v>46023</v>
      </c>
      <c r="B363" s="28">
        <f>YEAR([@Period])</f>
        <v/>
      </c>
      <c r="C363" s="28">
        <f>TEXT([@Period],"mmm")</f>
        <v/>
      </c>
      <c r="D363" s="30">
        <f>MONTH([@Period])</f>
        <v/>
      </c>
      <c r="E363" s="28" t="inlineStr">
        <is>
          <t>Administration</t>
        </is>
      </c>
      <c r="F363" s="28" t="inlineStr">
        <is>
          <t>Administration</t>
        </is>
      </c>
      <c r="G363" s="28" t="inlineStr">
        <is>
          <t>Owner (Asanko)</t>
        </is>
      </c>
      <c r="H363" s="34" t="n">
        <v>10800</v>
      </c>
      <c r="I363" s="35" t="n">
        <v>2</v>
      </c>
      <c r="J363" s="35" t="n">
        <v>2</v>
      </c>
      <c r="K363" s="35" t="n">
        <v>5</v>
      </c>
      <c r="L363" s="35" t="n">
        <v>4</v>
      </c>
      <c r="M363" s="35" t="n">
        <v>3</v>
      </c>
      <c r="N363" s="35" t="n">
        <v>3</v>
      </c>
      <c r="O363" s="36" t="n">
        <v>0.983</v>
      </c>
      <c r="P363" s="35" t="n">
        <v>0</v>
      </c>
      <c r="Q363" s="35" t="n">
        <v>11</v>
      </c>
      <c r="R363" s="35" t="n">
        <v>10</v>
      </c>
      <c r="S363" s="35" t="n">
        <v>9</v>
      </c>
      <c r="T363" s="37" t="n">
        <v>0.976</v>
      </c>
      <c r="U363" s="38">
        <f>IFERROR([@InspDone]/[@InspPlanned],0)</f>
        <v/>
      </c>
      <c r="V363" s="38">
        <f>IFERROR([@ObsClosed]/[@ObsRaised],0)</f>
        <v/>
      </c>
    </row>
    <row r="364">
      <c r="A364" s="33" t="n">
        <v>46023</v>
      </c>
      <c r="B364" s="28">
        <f>YEAR([@Period])</f>
        <v/>
      </c>
      <c r="C364" s="28">
        <f>TEXT([@Period],"mmm")</f>
        <v/>
      </c>
      <c r="D364" s="30">
        <f>MONTH([@Period])</f>
        <v/>
      </c>
      <c r="E364" s="28" t="inlineStr">
        <is>
          <t>Accommodation Camp</t>
        </is>
      </c>
      <c r="F364" s="28" t="inlineStr">
        <is>
          <t>Administration</t>
        </is>
      </c>
      <c r="G364" s="28" t="inlineStr">
        <is>
          <t>Catering Co (Camp)</t>
        </is>
      </c>
      <c r="H364" s="34" t="n">
        <v>6600</v>
      </c>
      <c r="I364" s="35" t="n">
        <v>0</v>
      </c>
      <c r="J364" s="35" t="n">
        <v>0</v>
      </c>
      <c r="K364" s="35" t="n">
        <v>3</v>
      </c>
      <c r="L364" s="35" t="n">
        <v>3</v>
      </c>
      <c r="M364" s="35" t="n">
        <v>2</v>
      </c>
      <c r="N364" s="35" t="n">
        <v>2</v>
      </c>
      <c r="O364" s="36" t="n">
        <v>0.9</v>
      </c>
      <c r="P364" s="35" t="n">
        <v>0</v>
      </c>
      <c r="Q364" s="35" t="n">
        <v>5</v>
      </c>
      <c r="R364" s="35" t="n">
        <v>5</v>
      </c>
      <c r="S364" s="35" t="n">
        <v>5</v>
      </c>
      <c r="T364" s="37" t="n">
        <v>0.965</v>
      </c>
      <c r="U364" s="38">
        <f>IFERROR([@InspDone]/[@InspPlanned],0)</f>
        <v/>
      </c>
      <c r="V364" s="38">
        <f>IFERROR([@ObsClosed]/[@ObsRaised],0)</f>
        <v/>
      </c>
    </row>
    <row r="365">
      <c r="A365" s="33" t="n">
        <v>46023</v>
      </c>
      <c r="B365" s="28">
        <f>YEAR([@Period])</f>
        <v/>
      </c>
      <c r="C365" s="28">
        <f>TEXT([@Period],"mmm")</f>
        <v/>
      </c>
      <c r="D365" s="30">
        <f>MONTH([@Period])</f>
        <v/>
      </c>
      <c r="E365" s="28" t="inlineStr">
        <is>
          <t>Security Gatehouse</t>
        </is>
      </c>
      <c r="F365" s="28" t="inlineStr">
        <is>
          <t>Security</t>
        </is>
      </c>
      <c r="G365" s="28" t="inlineStr">
        <is>
          <t>G4S (Security)</t>
        </is>
      </c>
      <c r="H365" s="34" t="n">
        <v>8865</v>
      </c>
      <c r="I365" s="35" t="n">
        <v>4</v>
      </c>
      <c r="J365" s="35" t="n">
        <v>0</v>
      </c>
      <c r="K365" s="35" t="n">
        <v>2</v>
      </c>
      <c r="L365" s="35" t="n">
        <v>2</v>
      </c>
      <c r="M365" s="35" t="n">
        <v>2</v>
      </c>
      <c r="N365" s="35" t="n">
        <v>2</v>
      </c>
      <c r="O365" s="36" t="n">
        <v>0.899</v>
      </c>
      <c r="P365" s="35" t="n">
        <v>0</v>
      </c>
      <c r="Q365" s="35" t="n">
        <v>7</v>
      </c>
      <c r="R365" s="35" t="n">
        <v>7</v>
      </c>
      <c r="S365" s="35" t="n">
        <v>7</v>
      </c>
      <c r="T365" s="37" t="n">
        <v>0.9399999999999999</v>
      </c>
      <c r="U365" s="38">
        <f>IFERROR([@InspDone]/[@InspPlanned],0)</f>
        <v/>
      </c>
      <c r="V365" s="38">
        <f>IFERROR([@ObsClosed]/[@ObsRaised],0)</f>
        <v/>
      </c>
    </row>
    <row r="366">
      <c r="A366" s="33" t="n">
        <v>46054</v>
      </c>
      <c r="B366" s="28">
        <f>YEAR([@Period])</f>
        <v/>
      </c>
      <c r="C366" s="28">
        <f>TEXT([@Period],"mmm")</f>
        <v/>
      </c>
      <c r="D366" s="30">
        <f>MONTH([@Period])</f>
        <v/>
      </c>
      <c r="E366" s="28" t="inlineStr">
        <is>
          <t>Nkran Open Pit</t>
        </is>
      </c>
      <c r="F366" s="28" t="inlineStr">
        <is>
          <t>Mining</t>
        </is>
      </c>
      <c r="G366" s="28" t="inlineStr">
        <is>
          <t>AUMS (Mining Contractor)</t>
        </is>
      </c>
      <c r="H366" s="34" t="n">
        <v>23280</v>
      </c>
      <c r="I366" s="35" t="n">
        <v>5</v>
      </c>
      <c r="J366" s="35" t="n">
        <v>4</v>
      </c>
      <c r="K366" s="35" t="n">
        <v>12</v>
      </c>
      <c r="L366" s="35" t="n">
        <v>10</v>
      </c>
      <c r="M366" s="35" t="n">
        <v>6</v>
      </c>
      <c r="N366" s="35" t="n">
        <v>6</v>
      </c>
      <c r="O366" s="36" t="n">
        <v>0.884</v>
      </c>
      <c r="P366" s="35" t="n">
        <v>1</v>
      </c>
      <c r="Q366" s="35" t="n">
        <v>15</v>
      </c>
      <c r="R366" s="35" t="n">
        <v>20</v>
      </c>
      <c r="S366" s="35" t="n">
        <v>18</v>
      </c>
      <c r="T366" s="37" t="n">
        <v>0.994</v>
      </c>
      <c r="U366" s="38">
        <f>IFERROR([@InspDone]/[@InspPlanned],0)</f>
        <v/>
      </c>
      <c r="V366" s="38">
        <f>IFERROR([@ObsClosed]/[@ObsRaised],0)</f>
        <v/>
      </c>
    </row>
    <row r="367">
      <c r="A367" s="33" t="n">
        <v>46054</v>
      </c>
      <c r="B367" s="28">
        <f>YEAR([@Period])</f>
        <v/>
      </c>
      <c r="C367" s="28">
        <f>TEXT([@Period],"mmm")</f>
        <v/>
      </c>
      <c r="D367" s="30">
        <f>MONTH([@Period])</f>
        <v/>
      </c>
      <c r="E367" s="28" t="inlineStr">
        <is>
          <t>Esaase Open Pit</t>
        </is>
      </c>
      <c r="F367" s="28" t="inlineStr">
        <is>
          <t>Mining</t>
        </is>
      </c>
      <c r="G367" s="28" t="inlineStr">
        <is>
          <t>AUMS (Mining Contractor)</t>
        </is>
      </c>
      <c r="H367" s="34" t="n">
        <v>23870</v>
      </c>
      <c r="I367" s="35" t="n">
        <v>2</v>
      </c>
      <c r="J367" s="35" t="n">
        <v>5</v>
      </c>
      <c r="K367" s="35" t="n">
        <v>15</v>
      </c>
      <c r="L367" s="35" t="n">
        <v>13</v>
      </c>
      <c r="M367" s="35" t="n">
        <v>6</v>
      </c>
      <c r="N367" s="35" t="n">
        <v>5</v>
      </c>
      <c r="O367" s="36" t="n">
        <v>0.983</v>
      </c>
      <c r="P367" s="35" t="n">
        <v>0</v>
      </c>
      <c r="Q367" s="35" t="n">
        <v>10</v>
      </c>
      <c r="R367" s="35" t="n">
        <v>18</v>
      </c>
      <c r="S367" s="35" t="n">
        <v>18</v>
      </c>
      <c r="T367" s="37" t="n">
        <v>0.955</v>
      </c>
      <c r="U367" s="38">
        <f>IFERROR([@InspDone]/[@InspPlanned],0)</f>
        <v/>
      </c>
      <c r="V367" s="38">
        <f>IFERROR([@ObsClosed]/[@ObsRaised],0)</f>
        <v/>
      </c>
    </row>
    <row r="368">
      <c r="A368" s="33" t="n">
        <v>46054</v>
      </c>
      <c r="B368" s="28">
        <f>YEAR([@Period])</f>
        <v/>
      </c>
      <c r="C368" s="28">
        <f>TEXT([@Period],"mmm")</f>
        <v/>
      </c>
      <c r="D368" s="30">
        <f>MONTH([@Period])</f>
        <v/>
      </c>
      <c r="E368" s="28" t="inlineStr">
        <is>
          <t>Drill &amp; Blast</t>
        </is>
      </c>
      <c r="F368" s="28" t="inlineStr">
        <is>
          <t>Mining</t>
        </is>
      </c>
      <c r="G368" s="28" t="inlineStr">
        <is>
          <t>Maxam (Blasting)</t>
        </is>
      </c>
      <c r="H368" s="34" t="n">
        <v>8640</v>
      </c>
      <c r="I368" s="35" t="n">
        <v>3</v>
      </c>
      <c r="J368" s="35" t="n">
        <v>0</v>
      </c>
      <c r="K368" s="35" t="n">
        <v>2</v>
      </c>
      <c r="L368" s="35" t="n">
        <v>2</v>
      </c>
      <c r="M368" s="35" t="n">
        <v>2</v>
      </c>
      <c r="N368" s="35" t="n">
        <v>2</v>
      </c>
      <c r="O368" s="36" t="n">
        <v>0.9409999999999999</v>
      </c>
      <c r="P368" s="35" t="n">
        <v>1</v>
      </c>
      <c r="Q368" s="35" t="n">
        <v>0</v>
      </c>
      <c r="R368" s="35" t="n">
        <v>6</v>
      </c>
      <c r="S368" s="35" t="n">
        <v>6</v>
      </c>
      <c r="T368" s="37" t="n">
        <v>0.923</v>
      </c>
      <c r="U368" s="38">
        <f>IFERROR([@InspDone]/[@InspPlanned],0)</f>
        <v/>
      </c>
      <c r="V368" s="38">
        <f>IFERROR([@ObsClosed]/[@ObsRaised],0)</f>
        <v/>
      </c>
    </row>
    <row r="369">
      <c r="A369" s="33" t="n">
        <v>46054</v>
      </c>
      <c r="B369" s="28">
        <f>YEAR([@Period])</f>
        <v/>
      </c>
      <c r="C369" s="28">
        <f>TEXT([@Period],"mmm")</f>
        <v/>
      </c>
      <c r="D369" s="30">
        <f>MONTH([@Period])</f>
        <v/>
      </c>
      <c r="E369" s="28" t="inlineStr">
        <is>
          <t>Haul Roads</t>
        </is>
      </c>
      <c r="F369" s="28" t="inlineStr">
        <is>
          <t>Mining</t>
        </is>
      </c>
      <c r="G369" s="28" t="inlineStr">
        <is>
          <t>AUMS (Mining Contractor)</t>
        </is>
      </c>
      <c r="H369" s="34" t="n">
        <v>12240</v>
      </c>
      <c r="I369" s="35" t="n">
        <v>4</v>
      </c>
      <c r="J369" s="35" t="n">
        <v>2</v>
      </c>
      <c r="K369" s="35" t="n">
        <v>6</v>
      </c>
      <c r="L369" s="35" t="n">
        <v>5</v>
      </c>
      <c r="M369" s="35" t="n">
        <v>3</v>
      </c>
      <c r="N369" s="35" t="n">
        <v>3</v>
      </c>
      <c r="O369" s="36" t="n">
        <v>0.956</v>
      </c>
      <c r="P369" s="35" t="n">
        <v>0</v>
      </c>
      <c r="Q369" s="35" t="n">
        <v>5</v>
      </c>
      <c r="R369" s="35" t="n">
        <v>10</v>
      </c>
      <c r="S369" s="35" t="n">
        <v>10</v>
      </c>
      <c r="T369" s="37" t="n">
        <v>0.957</v>
      </c>
      <c r="U369" s="38">
        <f>IFERROR([@InspDone]/[@InspPlanned],0)</f>
        <v/>
      </c>
      <c r="V369" s="38">
        <f>IFERROR([@ObsClosed]/[@ObsRaised],0)</f>
        <v/>
      </c>
    </row>
    <row r="370">
      <c r="A370" s="33" t="n">
        <v>46054</v>
      </c>
      <c r="B370" s="28">
        <f>YEAR([@Period])</f>
        <v/>
      </c>
      <c r="C370" s="28">
        <f>TEXT([@Period],"mmm")</f>
        <v/>
      </c>
      <c r="D370" s="30">
        <f>MONTH([@Period])</f>
        <v/>
      </c>
      <c r="E370" s="28" t="inlineStr">
        <is>
          <t>Explosives Magazine</t>
        </is>
      </c>
      <c r="F370" s="28" t="inlineStr">
        <is>
          <t>Mining</t>
        </is>
      </c>
      <c r="G370" s="28" t="inlineStr">
        <is>
          <t>Maxam (Blasting)</t>
        </is>
      </c>
      <c r="H370" s="34" t="n">
        <v>3345</v>
      </c>
      <c r="I370" s="35" t="n">
        <v>0</v>
      </c>
      <c r="J370" s="35" t="n">
        <v>1</v>
      </c>
      <c r="K370" s="35" t="n">
        <v>1</v>
      </c>
      <c r="L370" s="35" t="n">
        <v>1</v>
      </c>
      <c r="M370" s="35" t="n">
        <v>2</v>
      </c>
      <c r="N370" s="35" t="n">
        <v>2</v>
      </c>
      <c r="O370" s="36" t="n">
        <v>0.949</v>
      </c>
      <c r="P370" s="35" t="n">
        <v>0</v>
      </c>
      <c r="Q370" s="35" t="n">
        <v>1</v>
      </c>
      <c r="R370" s="35" t="n">
        <v>3</v>
      </c>
      <c r="S370" s="35" t="n">
        <v>3</v>
      </c>
      <c r="T370" s="37" t="n">
        <v>0.886</v>
      </c>
      <c r="U370" s="38">
        <f>IFERROR([@InspDone]/[@InspPlanned],0)</f>
        <v/>
      </c>
      <c r="V370" s="38">
        <f>IFERROR([@ObsClosed]/[@ObsRaised],0)</f>
        <v/>
      </c>
    </row>
    <row r="371">
      <c r="A371" s="33" t="n">
        <v>46054</v>
      </c>
      <c r="B371" s="28">
        <f>YEAR([@Period])</f>
        <v/>
      </c>
      <c r="C371" s="28">
        <f>TEXT([@Period],"mmm")</f>
        <v/>
      </c>
      <c r="D371" s="30">
        <f>MONTH([@Period])</f>
        <v/>
      </c>
      <c r="E371" s="28" t="inlineStr">
        <is>
          <t>Crushing Circuit</t>
        </is>
      </c>
      <c r="F371" s="28" t="inlineStr">
        <is>
          <t>Processing</t>
        </is>
      </c>
      <c r="G371" s="28" t="inlineStr">
        <is>
          <t>Owner (Asanko)</t>
        </is>
      </c>
      <c r="H371" s="34" t="n">
        <v>7770</v>
      </c>
      <c r="I371" s="35" t="n">
        <v>3</v>
      </c>
      <c r="J371" s="35" t="n">
        <v>1</v>
      </c>
      <c r="K371" s="35" t="n">
        <v>2</v>
      </c>
      <c r="L371" s="35" t="n">
        <v>2</v>
      </c>
      <c r="M371" s="35" t="n">
        <v>2</v>
      </c>
      <c r="N371" s="35" t="n">
        <v>2</v>
      </c>
      <c r="O371" s="36" t="n">
        <v>0.9419999999999999</v>
      </c>
      <c r="P371" s="35" t="n">
        <v>0</v>
      </c>
      <c r="Q371" s="35" t="n">
        <v>0</v>
      </c>
      <c r="R371" s="35" t="n">
        <v>5</v>
      </c>
      <c r="S371" s="35" t="n">
        <v>5</v>
      </c>
      <c r="T371" s="37" t="n">
        <v>0.999</v>
      </c>
      <c r="U371" s="38">
        <f>IFERROR([@InspDone]/[@InspPlanned],0)</f>
        <v/>
      </c>
      <c r="V371" s="38">
        <f>IFERROR([@ObsClosed]/[@ObsRaised],0)</f>
        <v/>
      </c>
    </row>
    <row r="372">
      <c r="A372" s="33" t="n">
        <v>46054</v>
      </c>
      <c r="B372" s="28">
        <f>YEAR([@Period])</f>
        <v/>
      </c>
      <c r="C372" s="28">
        <f>TEXT([@Period],"mmm")</f>
        <v/>
      </c>
      <c r="D372" s="30">
        <f>MONTH([@Period])</f>
        <v/>
      </c>
      <c r="E372" s="28" t="inlineStr">
        <is>
          <t>Processing Plant (CIL)</t>
        </is>
      </c>
      <c r="F372" s="28" t="inlineStr">
        <is>
          <t>Processing</t>
        </is>
      </c>
      <c r="G372" s="28" t="inlineStr">
        <is>
          <t>Owner (Asanko)</t>
        </is>
      </c>
      <c r="H372" s="34" t="n">
        <v>17100</v>
      </c>
      <c r="I372" s="35" t="n">
        <v>4</v>
      </c>
      <c r="J372" s="35" t="n">
        <v>5</v>
      </c>
      <c r="K372" s="35" t="n">
        <v>6</v>
      </c>
      <c r="L372" s="35" t="n">
        <v>5</v>
      </c>
      <c r="M372" s="35" t="n">
        <v>5</v>
      </c>
      <c r="N372" s="35" t="n">
        <v>5</v>
      </c>
      <c r="O372" s="36" t="n">
        <v>0.986</v>
      </c>
      <c r="P372" s="35" t="n">
        <v>0</v>
      </c>
      <c r="Q372" s="35" t="n">
        <v>9</v>
      </c>
      <c r="R372" s="35" t="n">
        <v>15</v>
      </c>
      <c r="S372" s="35" t="n">
        <v>14</v>
      </c>
      <c r="T372" s="37" t="n">
        <v>0.967</v>
      </c>
      <c r="U372" s="38">
        <f>IFERROR([@InspDone]/[@InspPlanned],0)</f>
        <v/>
      </c>
      <c r="V372" s="38">
        <f>IFERROR([@ObsClosed]/[@ObsRaised],0)</f>
        <v/>
      </c>
    </row>
    <row r="373">
      <c r="A373" s="33" t="n">
        <v>46054</v>
      </c>
      <c r="B373" s="28">
        <f>YEAR([@Period])</f>
        <v/>
      </c>
      <c r="C373" s="28">
        <f>TEXT([@Period],"mmm")</f>
        <v/>
      </c>
      <c r="D373" s="30">
        <f>MONTH([@Period])</f>
        <v/>
      </c>
      <c r="E373" s="28" t="inlineStr">
        <is>
          <t>Elution &amp; Gold Room</t>
        </is>
      </c>
      <c r="F373" s="28" t="inlineStr">
        <is>
          <t>Processing</t>
        </is>
      </c>
      <c r="G373" s="28" t="inlineStr">
        <is>
          <t>Owner (Asanko)</t>
        </is>
      </c>
      <c r="H373" s="34" t="n">
        <v>3620</v>
      </c>
      <c r="I373" s="35" t="n">
        <v>2</v>
      </c>
      <c r="J373" s="35" t="n">
        <v>0</v>
      </c>
      <c r="K373" s="35" t="n">
        <v>3</v>
      </c>
      <c r="L373" s="35" t="n">
        <v>2</v>
      </c>
      <c r="M373" s="35" t="n">
        <v>2</v>
      </c>
      <c r="N373" s="35" t="n">
        <v>2</v>
      </c>
      <c r="O373" s="36" t="n">
        <v>0.91</v>
      </c>
      <c r="P373" s="35" t="n">
        <v>1</v>
      </c>
      <c r="Q373" s="35" t="n">
        <v>0</v>
      </c>
      <c r="R373" s="35" t="n">
        <v>3</v>
      </c>
      <c r="S373" s="35" t="n">
        <v>3</v>
      </c>
      <c r="T373" s="37" t="n">
        <v>0.9409999999999999</v>
      </c>
      <c r="U373" s="38">
        <f>IFERROR([@InspDone]/[@InspPlanned],0)</f>
        <v/>
      </c>
      <c r="V373" s="38">
        <f>IFERROR([@ObsClosed]/[@ObsRaised],0)</f>
        <v/>
      </c>
    </row>
    <row r="374">
      <c r="A374" s="33" t="n">
        <v>46054</v>
      </c>
      <c r="B374" s="28">
        <f>YEAR([@Period])</f>
        <v/>
      </c>
      <c r="C374" s="28">
        <f>TEXT([@Period],"mmm")</f>
        <v/>
      </c>
      <c r="D374" s="30">
        <f>MONTH([@Period])</f>
        <v/>
      </c>
      <c r="E374" s="28" t="inlineStr">
        <is>
          <t>Tailings Storage Facility</t>
        </is>
      </c>
      <c r="F374" s="28" t="inlineStr">
        <is>
          <t>Environment</t>
        </is>
      </c>
      <c r="G374" s="28" t="inlineStr">
        <is>
          <t>Owner (Asanko)</t>
        </is>
      </c>
      <c r="H374" s="34" t="n">
        <v>3744</v>
      </c>
      <c r="I374" s="35" t="n">
        <v>0</v>
      </c>
      <c r="J374" s="35" t="n">
        <v>0</v>
      </c>
      <c r="K374" s="35" t="n">
        <v>2</v>
      </c>
      <c r="L374" s="35" t="n">
        <v>2</v>
      </c>
      <c r="M374" s="35" t="n">
        <v>2</v>
      </c>
      <c r="N374" s="35" t="n">
        <v>2</v>
      </c>
      <c r="O374" s="36" t="n">
        <v>0.893</v>
      </c>
      <c r="P374" s="35" t="n">
        <v>0</v>
      </c>
      <c r="Q374" s="35" t="n">
        <v>2</v>
      </c>
      <c r="R374" s="35" t="n">
        <v>3</v>
      </c>
      <c r="S374" s="35" t="n">
        <v>3</v>
      </c>
      <c r="T374" s="37" t="n">
        <v>0.9370000000000001</v>
      </c>
      <c r="U374" s="38">
        <f>IFERROR([@InspDone]/[@InspPlanned],0)</f>
        <v/>
      </c>
      <c r="V374" s="38">
        <f>IFERROR([@ObsClosed]/[@ObsRaised],0)</f>
        <v/>
      </c>
    </row>
    <row r="375">
      <c r="A375" s="33" t="n">
        <v>46054</v>
      </c>
      <c r="B375" s="28">
        <f>YEAR([@Period])</f>
        <v/>
      </c>
      <c r="C375" s="28">
        <f>TEXT([@Period],"mmm")</f>
        <v/>
      </c>
      <c r="D375" s="30">
        <f>MONTH([@Period])</f>
        <v/>
      </c>
      <c r="E375" s="28" t="inlineStr">
        <is>
          <t>Water Treatment</t>
        </is>
      </c>
      <c r="F375" s="28" t="inlineStr">
        <is>
          <t>Environment</t>
        </is>
      </c>
      <c r="G375" s="28" t="inlineStr">
        <is>
          <t>Owner (Asanko)</t>
        </is>
      </c>
      <c r="H375" s="34" t="n">
        <v>2232</v>
      </c>
      <c r="I375" s="35" t="n">
        <v>0</v>
      </c>
      <c r="J375" s="35" t="n">
        <v>0</v>
      </c>
      <c r="K375" s="35" t="n">
        <v>0</v>
      </c>
      <c r="L375" s="35" t="n">
        <v>0</v>
      </c>
      <c r="M375" s="35" t="n">
        <v>2</v>
      </c>
      <c r="N375" s="35" t="n">
        <v>2</v>
      </c>
      <c r="O375" s="36" t="n">
        <v>0.895</v>
      </c>
      <c r="P375" s="35" t="n">
        <v>0</v>
      </c>
      <c r="Q375" s="35" t="n">
        <v>2</v>
      </c>
      <c r="R375" s="35" t="n">
        <v>3</v>
      </c>
      <c r="S375" s="35" t="n">
        <v>3</v>
      </c>
      <c r="T375" s="37" t="n">
        <v>0.903</v>
      </c>
      <c r="U375" s="38">
        <f>IFERROR([@InspDone]/[@InspPlanned],0)</f>
        <v/>
      </c>
      <c r="V375" s="38">
        <f>IFERROR([@ObsClosed]/[@ObsRaised],0)</f>
        <v/>
      </c>
    </row>
    <row r="376">
      <c r="A376" s="33" t="n">
        <v>46054</v>
      </c>
      <c r="B376" s="28">
        <f>YEAR([@Period])</f>
        <v/>
      </c>
      <c r="C376" s="28">
        <f>TEXT([@Period],"mmm")</f>
        <v/>
      </c>
      <c r="D376" s="30">
        <f>MONTH([@Period])</f>
        <v/>
      </c>
      <c r="E376" s="28" t="inlineStr">
        <is>
          <t>Assay Laboratory</t>
        </is>
      </c>
      <c r="F376" s="28" t="inlineStr">
        <is>
          <t>Laboratory</t>
        </is>
      </c>
      <c r="G376" s="28" t="inlineStr">
        <is>
          <t>SGS (Laboratory)</t>
        </is>
      </c>
      <c r="H376" s="34" t="n">
        <v>5225</v>
      </c>
      <c r="I376" s="35" t="n">
        <v>1</v>
      </c>
      <c r="J376" s="35" t="n">
        <v>2</v>
      </c>
      <c r="K376" s="35" t="n">
        <v>5</v>
      </c>
      <c r="L376" s="35" t="n">
        <v>4</v>
      </c>
      <c r="M376" s="35" t="n">
        <v>2</v>
      </c>
      <c r="N376" s="35" t="n">
        <v>2</v>
      </c>
      <c r="O376" s="36" t="n">
        <v>0.9409999999999999</v>
      </c>
      <c r="P376" s="35" t="n">
        <v>0</v>
      </c>
      <c r="Q376" s="35" t="n">
        <v>3</v>
      </c>
      <c r="R376" s="35" t="n">
        <v>4</v>
      </c>
      <c r="S376" s="35" t="n">
        <v>4</v>
      </c>
      <c r="T376" s="37" t="n">
        <v>0.92</v>
      </c>
      <c r="U376" s="38">
        <f>IFERROR([@InspDone]/[@InspPlanned],0)</f>
        <v/>
      </c>
      <c r="V376" s="38">
        <f>IFERROR([@ObsClosed]/[@ObsRaised],0)</f>
        <v/>
      </c>
    </row>
    <row r="377">
      <c r="A377" s="33" t="n">
        <v>46054</v>
      </c>
      <c r="B377" s="28">
        <f>YEAR([@Period])</f>
        <v/>
      </c>
      <c r="C377" s="28">
        <f>TEXT([@Period],"mmm")</f>
        <v/>
      </c>
      <c r="D377" s="30">
        <f>MONTH([@Period])</f>
        <v/>
      </c>
      <c r="E377" s="28" t="inlineStr">
        <is>
          <t>HME Workshop</t>
        </is>
      </c>
      <c r="F377" s="28" t="inlineStr">
        <is>
          <t>Engineering</t>
        </is>
      </c>
      <c r="G377" s="28" t="inlineStr">
        <is>
          <t>Owner (Asanko)</t>
        </is>
      </c>
      <c r="H377" s="34" t="n">
        <v>9955</v>
      </c>
      <c r="I377" s="35" t="n">
        <v>1</v>
      </c>
      <c r="J377" s="35" t="n">
        <v>1</v>
      </c>
      <c r="K377" s="35" t="n">
        <v>9</v>
      </c>
      <c r="L377" s="35" t="n">
        <v>8</v>
      </c>
      <c r="M377" s="35" t="n">
        <v>3</v>
      </c>
      <c r="N377" s="35" t="n">
        <v>3</v>
      </c>
      <c r="O377" s="36" t="n">
        <v>0.907</v>
      </c>
      <c r="P377" s="35" t="n">
        <v>1</v>
      </c>
      <c r="Q377" s="35" t="n">
        <v>3</v>
      </c>
      <c r="R377" s="35" t="n">
        <v>9</v>
      </c>
      <c r="S377" s="35" t="n">
        <v>9</v>
      </c>
      <c r="T377" s="37" t="n">
        <v>0.892</v>
      </c>
      <c r="U377" s="38">
        <f>IFERROR([@InspDone]/[@InspPlanned],0)</f>
        <v/>
      </c>
      <c r="V377" s="38">
        <f>IFERROR([@ObsClosed]/[@ObsRaised],0)</f>
        <v/>
      </c>
    </row>
    <row r="378">
      <c r="A378" s="33" t="n">
        <v>46054</v>
      </c>
      <c r="B378" s="28">
        <f>YEAR([@Period])</f>
        <v/>
      </c>
      <c r="C378" s="28">
        <f>TEXT([@Period],"mmm")</f>
        <v/>
      </c>
      <c r="D378" s="30">
        <f>MONTH([@Period])</f>
        <v/>
      </c>
      <c r="E378" s="28" t="inlineStr">
        <is>
          <t>Fuel Farm</t>
        </is>
      </c>
      <c r="F378" s="28" t="inlineStr">
        <is>
          <t>Engineering</t>
        </is>
      </c>
      <c r="G378" s="28" t="inlineStr">
        <is>
          <t>Owner (Asanko)</t>
        </is>
      </c>
      <c r="H378" s="34" t="n">
        <v>2200</v>
      </c>
      <c r="I378" s="35" t="n">
        <v>1</v>
      </c>
      <c r="J378" s="35" t="n">
        <v>1</v>
      </c>
      <c r="K378" s="35" t="n">
        <v>2</v>
      </c>
      <c r="L378" s="35" t="n">
        <v>2</v>
      </c>
      <c r="M378" s="35" t="n">
        <v>2</v>
      </c>
      <c r="N378" s="35" t="n">
        <v>2</v>
      </c>
      <c r="O378" s="36" t="n">
        <v>0.958</v>
      </c>
      <c r="P378" s="35" t="n">
        <v>0</v>
      </c>
      <c r="Q378" s="35" t="n">
        <v>2</v>
      </c>
      <c r="R378" s="35" t="n">
        <v>3</v>
      </c>
      <c r="S378" s="35" t="n">
        <v>3</v>
      </c>
      <c r="T378" s="37" t="n">
        <v>0.976</v>
      </c>
      <c r="U378" s="38">
        <f>IFERROR([@InspDone]/[@InspPlanned],0)</f>
        <v/>
      </c>
      <c r="V378" s="38">
        <f>IFERROR([@ObsClosed]/[@ObsRaised],0)</f>
        <v/>
      </c>
    </row>
    <row r="379">
      <c r="A379" s="33" t="n">
        <v>46054</v>
      </c>
      <c r="B379" s="28">
        <f>YEAR([@Period])</f>
        <v/>
      </c>
      <c r="C379" s="28">
        <f>TEXT([@Period],"mmm")</f>
        <v/>
      </c>
      <c r="D379" s="30">
        <f>MONTH([@Period])</f>
        <v/>
      </c>
      <c r="E379" s="28" t="inlineStr">
        <is>
          <t>Power Station</t>
        </is>
      </c>
      <c r="F379" s="28" t="inlineStr">
        <is>
          <t>Engineering</t>
        </is>
      </c>
      <c r="G379" s="28" t="inlineStr">
        <is>
          <t>Genser (Power)</t>
        </is>
      </c>
      <c r="H379" s="34" t="n">
        <v>4290</v>
      </c>
      <c r="I379" s="35" t="n">
        <v>0</v>
      </c>
      <c r="J379" s="35" t="n">
        <v>1</v>
      </c>
      <c r="K379" s="35" t="n">
        <v>3</v>
      </c>
      <c r="L379" s="35" t="n">
        <v>3</v>
      </c>
      <c r="M379" s="35" t="n">
        <v>2</v>
      </c>
      <c r="N379" s="35" t="n">
        <v>2</v>
      </c>
      <c r="O379" s="36" t="n">
        <v>0.918</v>
      </c>
      <c r="P379" s="35" t="n">
        <v>1</v>
      </c>
      <c r="Q379" s="35" t="n">
        <v>5</v>
      </c>
      <c r="R379" s="35" t="n">
        <v>3</v>
      </c>
      <c r="S379" s="35" t="n">
        <v>3</v>
      </c>
      <c r="T379" s="37" t="n">
        <v>0.9370000000000001</v>
      </c>
      <c r="U379" s="38">
        <f>IFERROR([@InspDone]/[@InspPlanned],0)</f>
        <v/>
      </c>
      <c r="V379" s="38">
        <f>IFERROR([@ObsClosed]/[@ObsRaised],0)</f>
        <v/>
      </c>
    </row>
    <row r="380">
      <c r="A380" s="33" t="n">
        <v>46054</v>
      </c>
      <c r="B380" s="28">
        <f>YEAR([@Period])</f>
        <v/>
      </c>
      <c r="C380" s="28">
        <f>TEXT([@Period],"mmm")</f>
        <v/>
      </c>
      <c r="D380" s="30">
        <f>MONTH([@Period])</f>
        <v/>
      </c>
      <c r="E380" s="28" t="inlineStr">
        <is>
          <t>Warehouse &amp; Stores</t>
        </is>
      </c>
      <c r="F380" s="28" t="inlineStr">
        <is>
          <t>Logistics</t>
        </is>
      </c>
      <c r="G380" s="28" t="inlineStr">
        <is>
          <t>Owner (Asanko)</t>
        </is>
      </c>
      <c r="H380" s="34" t="n">
        <v>5016</v>
      </c>
      <c r="I380" s="35" t="n">
        <v>0</v>
      </c>
      <c r="J380" s="35" t="n">
        <v>1</v>
      </c>
      <c r="K380" s="35" t="n">
        <v>1</v>
      </c>
      <c r="L380" s="35" t="n">
        <v>1</v>
      </c>
      <c r="M380" s="35" t="n">
        <v>2</v>
      </c>
      <c r="N380" s="35" t="n">
        <v>2</v>
      </c>
      <c r="O380" s="36" t="n">
        <v>0.9429999999999999</v>
      </c>
      <c r="P380" s="35" t="n">
        <v>1</v>
      </c>
      <c r="Q380" s="35" t="n">
        <v>0</v>
      </c>
      <c r="R380" s="35" t="n">
        <v>4</v>
      </c>
      <c r="S380" s="35" t="n">
        <v>4</v>
      </c>
      <c r="T380" s="37" t="n">
        <v>0.989</v>
      </c>
      <c r="U380" s="38">
        <f>IFERROR([@InspDone]/[@InspPlanned],0)</f>
        <v/>
      </c>
      <c r="V380" s="38">
        <f>IFERROR([@ObsClosed]/[@ObsRaised],0)</f>
        <v/>
      </c>
    </row>
    <row r="381">
      <c r="A381" s="33" t="n">
        <v>46054</v>
      </c>
      <c r="B381" s="28">
        <f>YEAR([@Period])</f>
        <v/>
      </c>
      <c r="C381" s="28">
        <f>TEXT([@Period],"mmm")</f>
        <v/>
      </c>
      <c r="D381" s="30">
        <f>MONTH([@Period])</f>
        <v/>
      </c>
      <c r="E381" s="28" t="inlineStr">
        <is>
          <t>Administration</t>
        </is>
      </c>
      <c r="F381" s="28" t="inlineStr">
        <is>
          <t>Administration</t>
        </is>
      </c>
      <c r="G381" s="28" t="inlineStr">
        <is>
          <t>Owner (Asanko)</t>
        </is>
      </c>
      <c r="H381" s="34" t="n">
        <v>13560</v>
      </c>
      <c r="I381" s="35" t="n">
        <v>9</v>
      </c>
      <c r="J381" s="35" t="n">
        <v>2</v>
      </c>
      <c r="K381" s="35" t="n">
        <v>7</v>
      </c>
      <c r="L381" s="35" t="n">
        <v>6</v>
      </c>
      <c r="M381" s="35" t="n">
        <v>3</v>
      </c>
      <c r="N381" s="35" t="n">
        <v>3</v>
      </c>
      <c r="O381" s="36" t="n">
        <v>0.945</v>
      </c>
      <c r="P381" s="35" t="n">
        <v>1</v>
      </c>
      <c r="Q381" s="35" t="n">
        <v>5</v>
      </c>
      <c r="R381" s="35" t="n">
        <v>10</v>
      </c>
      <c r="S381" s="35" t="n">
        <v>9</v>
      </c>
      <c r="T381" s="37" t="n">
        <v>0.896</v>
      </c>
      <c r="U381" s="38">
        <f>IFERROR([@InspDone]/[@InspPlanned],0)</f>
        <v/>
      </c>
      <c r="V381" s="38">
        <f>IFERROR([@ObsClosed]/[@ObsRaised],0)</f>
        <v/>
      </c>
    </row>
    <row r="382">
      <c r="A382" s="33" t="n">
        <v>46054</v>
      </c>
      <c r="B382" s="28">
        <f>YEAR([@Period])</f>
        <v/>
      </c>
      <c r="C382" s="28">
        <f>TEXT([@Period],"mmm")</f>
        <v/>
      </c>
      <c r="D382" s="30">
        <f>MONTH([@Period])</f>
        <v/>
      </c>
      <c r="E382" s="28" t="inlineStr">
        <is>
          <t>Accommodation Camp</t>
        </is>
      </c>
      <c r="F382" s="28" t="inlineStr">
        <is>
          <t>Administration</t>
        </is>
      </c>
      <c r="G382" s="28" t="inlineStr">
        <is>
          <t>Catering Co (Camp)</t>
        </is>
      </c>
      <c r="H382" s="34" t="n">
        <v>5910</v>
      </c>
      <c r="I382" s="35" t="n">
        <v>3</v>
      </c>
      <c r="J382" s="35" t="n">
        <v>3</v>
      </c>
      <c r="K382" s="35" t="n">
        <v>1</v>
      </c>
      <c r="L382" s="35" t="n">
        <v>1</v>
      </c>
      <c r="M382" s="35" t="n">
        <v>2</v>
      </c>
      <c r="N382" s="35" t="n">
        <v>2</v>
      </c>
      <c r="O382" s="36" t="n">
        <v>0.901</v>
      </c>
      <c r="P382" s="35" t="n">
        <v>0</v>
      </c>
      <c r="Q382" s="35" t="n">
        <v>3</v>
      </c>
      <c r="R382" s="35" t="n">
        <v>5</v>
      </c>
      <c r="S382" s="35" t="n">
        <v>5</v>
      </c>
      <c r="T382" s="37" t="n">
        <v>0.926</v>
      </c>
      <c r="U382" s="38">
        <f>IFERROR([@InspDone]/[@InspPlanned],0)</f>
        <v/>
      </c>
      <c r="V382" s="38">
        <f>IFERROR([@ObsClosed]/[@ObsRaised],0)</f>
        <v/>
      </c>
    </row>
    <row r="383">
      <c r="A383" s="33" t="n">
        <v>46054</v>
      </c>
      <c r="B383" s="28">
        <f>YEAR([@Period])</f>
        <v/>
      </c>
      <c r="C383" s="28">
        <f>TEXT([@Period],"mmm")</f>
        <v/>
      </c>
      <c r="D383" s="30">
        <f>MONTH([@Period])</f>
        <v/>
      </c>
      <c r="E383" s="28" t="inlineStr">
        <is>
          <t>Security Gatehouse</t>
        </is>
      </c>
      <c r="F383" s="28" t="inlineStr">
        <is>
          <t>Security</t>
        </is>
      </c>
      <c r="G383" s="28" t="inlineStr">
        <is>
          <t>G4S (Security)</t>
        </is>
      </c>
      <c r="H383" s="34" t="n">
        <v>10260</v>
      </c>
      <c r="I383" s="35" t="n">
        <v>1</v>
      </c>
      <c r="J383" s="35" t="n">
        <v>1</v>
      </c>
      <c r="K383" s="35" t="n">
        <v>5</v>
      </c>
      <c r="L383" s="35" t="n">
        <v>5</v>
      </c>
      <c r="M383" s="35" t="n">
        <v>2</v>
      </c>
      <c r="N383" s="35" t="n">
        <v>2</v>
      </c>
      <c r="O383" s="36" t="n">
        <v>0.915</v>
      </c>
      <c r="P383" s="35" t="n">
        <v>1</v>
      </c>
      <c r="Q383" s="35" t="n">
        <v>7</v>
      </c>
      <c r="R383" s="35" t="n">
        <v>7</v>
      </c>
      <c r="S383" s="35" t="n">
        <v>7</v>
      </c>
      <c r="T383" s="37" t="n">
        <v>0.898</v>
      </c>
      <c r="U383" s="38">
        <f>IFERROR([@InspDone]/[@InspPlanned],0)</f>
        <v/>
      </c>
      <c r="V383" s="38">
        <f>IFERROR([@ObsClosed]/[@ObsRaised],0)</f>
        <v/>
      </c>
    </row>
    <row r="384">
      <c r="A384" s="33" t="n">
        <v>46082</v>
      </c>
      <c r="B384" s="28">
        <f>YEAR([@Period])</f>
        <v/>
      </c>
      <c r="C384" s="28">
        <f>TEXT([@Period],"mmm")</f>
        <v/>
      </c>
      <c r="D384" s="30">
        <f>MONTH([@Period])</f>
        <v/>
      </c>
      <c r="E384" s="28" t="inlineStr">
        <is>
          <t>Nkran Open Pit</t>
        </is>
      </c>
      <c r="F384" s="28" t="inlineStr">
        <is>
          <t>Mining</t>
        </is>
      </c>
      <c r="G384" s="28" t="inlineStr">
        <is>
          <t>AUMS (Mining Contractor)</t>
        </is>
      </c>
      <c r="H384" s="34" t="n">
        <v>25800</v>
      </c>
      <c r="I384" s="35" t="n">
        <v>6</v>
      </c>
      <c r="J384" s="35" t="n">
        <v>2</v>
      </c>
      <c r="K384" s="35" t="n">
        <v>8</v>
      </c>
      <c r="L384" s="35" t="n">
        <v>6</v>
      </c>
      <c r="M384" s="35" t="n">
        <v>6</v>
      </c>
      <c r="N384" s="35" t="n">
        <v>5</v>
      </c>
      <c r="O384" s="36" t="n">
        <v>0.984</v>
      </c>
      <c r="P384" s="35" t="n">
        <v>0</v>
      </c>
      <c r="Q384" s="35" t="n">
        <v>15</v>
      </c>
      <c r="R384" s="35" t="n">
        <v>20</v>
      </c>
      <c r="S384" s="35" t="n">
        <v>20</v>
      </c>
      <c r="T384" s="37" t="n">
        <v>0.909</v>
      </c>
      <c r="U384" s="38">
        <f>IFERROR([@InspDone]/[@InspPlanned],0)</f>
        <v/>
      </c>
      <c r="V384" s="38">
        <f>IFERROR([@ObsClosed]/[@ObsRaised],0)</f>
        <v/>
      </c>
    </row>
    <row r="385">
      <c r="A385" s="33" t="n">
        <v>46082</v>
      </c>
      <c r="B385" s="28">
        <f>YEAR([@Period])</f>
        <v/>
      </c>
      <c r="C385" s="28">
        <f>TEXT([@Period],"mmm")</f>
        <v/>
      </c>
      <c r="D385" s="30">
        <f>MONTH([@Period])</f>
        <v/>
      </c>
      <c r="E385" s="28" t="inlineStr">
        <is>
          <t>Esaase Open Pit</t>
        </is>
      </c>
      <c r="F385" s="28" t="inlineStr">
        <is>
          <t>Mining</t>
        </is>
      </c>
      <c r="G385" s="28" t="inlineStr">
        <is>
          <t>AUMS (Mining Contractor)</t>
        </is>
      </c>
      <c r="H385" s="34" t="n">
        <v>24750</v>
      </c>
      <c r="I385" s="35" t="n">
        <v>6</v>
      </c>
      <c r="J385" s="35" t="n">
        <v>3</v>
      </c>
      <c r="K385" s="35" t="n">
        <v>7</v>
      </c>
      <c r="L385" s="35" t="n">
        <v>6</v>
      </c>
      <c r="M385" s="35" t="n">
        <v>6</v>
      </c>
      <c r="N385" s="35" t="n">
        <v>6</v>
      </c>
      <c r="O385" s="36" t="n">
        <v>0.924</v>
      </c>
      <c r="P385" s="35" t="n">
        <v>0</v>
      </c>
      <c r="Q385" s="35" t="n">
        <v>9</v>
      </c>
      <c r="R385" s="35" t="n">
        <v>18</v>
      </c>
      <c r="S385" s="35" t="n">
        <v>17</v>
      </c>
      <c r="T385" s="37" t="n">
        <v>0.897</v>
      </c>
      <c r="U385" s="38">
        <f>IFERROR([@InspDone]/[@InspPlanned],0)</f>
        <v/>
      </c>
      <c r="V385" s="38">
        <f>IFERROR([@ObsClosed]/[@ObsRaised],0)</f>
        <v/>
      </c>
    </row>
    <row r="386">
      <c r="A386" s="33" t="n">
        <v>46082</v>
      </c>
      <c r="B386" s="28">
        <f>YEAR([@Period])</f>
        <v/>
      </c>
      <c r="C386" s="28">
        <f>TEXT([@Period],"mmm")</f>
        <v/>
      </c>
      <c r="D386" s="30">
        <f>MONTH([@Period])</f>
        <v/>
      </c>
      <c r="E386" s="28" t="inlineStr">
        <is>
          <t>Drill &amp; Blast</t>
        </is>
      </c>
      <c r="F386" s="28" t="inlineStr">
        <is>
          <t>Mining</t>
        </is>
      </c>
      <c r="G386" s="28" t="inlineStr">
        <is>
          <t>Maxam (Blasting)</t>
        </is>
      </c>
      <c r="H386" s="34" t="n">
        <v>8240</v>
      </c>
      <c r="I386" s="35" t="n">
        <v>3</v>
      </c>
      <c r="J386" s="35" t="n">
        <v>2</v>
      </c>
      <c r="K386" s="35" t="n">
        <v>1</v>
      </c>
      <c r="L386" s="35" t="n">
        <v>1</v>
      </c>
      <c r="M386" s="35" t="n">
        <v>2</v>
      </c>
      <c r="N386" s="35" t="n">
        <v>2</v>
      </c>
      <c r="O386" s="36" t="n">
        <v>0.96</v>
      </c>
      <c r="P386" s="35" t="n">
        <v>1</v>
      </c>
      <c r="Q386" s="35" t="n">
        <v>2</v>
      </c>
      <c r="R386" s="35" t="n">
        <v>6</v>
      </c>
      <c r="S386" s="35" t="n">
        <v>5</v>
      </c>
      <c r="T386" s="37" t="n">
        <v>0.915</v>
      </c>
      <c r="U386" s="38">
        <f>IFERROR([@InspDone]/[@InspPlanned],0)</f>
        <v/>
      </c>
      <c r="V386" s="38">
        <f>IFERROR([@ObsClosed]/[@ObsRaised],0)</f>
        <v/>
      </c>
    </row>
    <row r="387">
      <c r="A387" s="33" t="n">
        <v>46082</v>
      </c>
      <c r="B387" s="28">
        <f>YEAR([@Period])</f>
        <v/>
      </c>
      <c r="C387" s="28">
        <f>TEXT([@Period],"mmm")</f>
        <v/>
      </c>
      <c r="D387" s="30">
        <f>MONTH([@Period])</f>
        <v/>
      </c>
      <c r="E387" s="28" t="inlineStr">
        <is>
          <t>Haul Roads</t>
        </is>
      </c>
      <c r="F387" s="28" t="inlineStr">
        <is>
          <t>Mining</t>
        </is>
      </c>
      <c r="G387" s="28" t="inlineStr">
        <is>
          <t>AUMS (Mining Contractor)</t>
        </is>
      </c>
      <c r="H387" s="34" t="n">
        <v>10800</v>
      </c>
      <c r="I387" s="35" t="n">
        <v>3</v>
      </c>
      <c r="J387" s="35" t="n">
        <v>2</v>
      </c>
      <c r="K387" s="35" t="n">
        <v>6</v>
      </c>
      <c r="L387" s="35" t="n">
        <v>5</v>
      </c>
      <c r="M387" s="35" t="n">
        <v>3</v>
      </c>
      <c r="N387" s="35" t="n">
        <v>3</v>
      </c>
      <c r="O387" s="36" t="n">
        <v>0.985</v>
      </c>
      <c r="P387" s="35" t="n">
        <v>1</v>
      </c>
      <c r="Q387" s="35" t="n">
        <v>6</v>
      </c>
      <c r="R387" s="35" t="n">
        <v>10</v>
      </c>
      <c r="S387" s="35" t="n">
        <v>9</v>
      </c>
      <c r="T387" s="37" t="n">
        <v>0.99</v>
      </c>
      <c r="U387" s="38">
        <f>IFERROR([@InspDone]/[@InspPlanned],0)</f>
        <v/>
      </c>
      <c r="V387" s="38">
        <f>IFERROR([@ObsClosed]/[@ObsRaised],0)</f>
        <v/>
      </c>
    </row>
    <row r="388">
      <c r="A388" s="33" t="n">
        <v>46082</v>
      </c>
      <c r="B388" s="28">
        <f>YEAR([@Period])</f>
        <v/>
      </c>
      <c r="C388" s="28">
        <f>TEXT([@Period],"mmm")</f>
        <v/>
      </c>
      <c r="D388" s="30">
        <f>MONTH([@Period])</f>
        <v/>
      </c>
      <c r="E388" s="28" t="inlineStr">
        <is>
          <t>Explosives Magazine</t>
        </is>
      </c>
      <c r="F388" s="28" t="inlineStr">
        <is>
          <t>Mining</t>
        </is>
      </c>
      <c r="G388" s="28" t="inlineStr">
        <is>
          <t>Maxam (Blasting)</t>
        </is>
      </c>
      <c r="H388" s="34" t="n">
        <v>3240</v>
      </c>
      <c r="I388" s="35" t="n">
        <v>1</v>
      </c>
      <c r="J388" s="35" t="n">
        <v>1</v>
      </c>
      <c r="K388" s="35" t="n">
        <v>3</v>
      </c>
      <c r="L388" s="35" t="n">
        <v>3</v>
      </c>
      <c r="M388" s="35" t="n">
        <v>2</v>
      </c>
      <c r="N388" s="35" t="n">
        <v>2</v>
      </c>
      <c r="O388" s="36" t="n">
        <v>0.924</v>
      </c>
      <c r="P388" s="35" t="n">
        <v>1</v>
      </c>
      <c r="Q388" s="35" t="n">
        <v>2</v>
      </c>
      <c r="R388" s="35" t="n">
        <v>3</v>
      </c>
      <c r="S388" s="35" t="n">
        <v>3</v>
      </c>
      <c r="T388" s="37" t="n">
        <v>0.931</v>
      </c>
      <c r="U388" s="38">
        <f>IFERROR([@InspDone]/[@InspPlanned],0)</f>
        <v/>
      </c>
      <c r="V388" s="38">
        <f>IFERROR([@ObsClosed]/[@ObsRaised],0)</f>
        <v/>
      </c>
    </row>
    <row r="389">
      <c r="A389" s="33" t="n">
        <v>46082</v>
      </c>
      <c r="B389" s="28">
        <f>YEAR([@Period])</f>
        <v/>
      </c>
      <c r="C389" s="28">
        <f>TEXT([@Period],"mmm")</f>
        <v/>
      </c>
      <c r="D389" s="30">
        <f>MONTH([@Period])</f>
        <v/>
      </c>
      <c r="E389" s="28" t="inlineStr">
        <is>
          <t>Crushing Circuit</t>
        </is>
      </c>
      <c r="F389" s="28" t="inlineStr">
        <is>
          <t>Processing</t>
        </is>
      </c>
      <c r="G389" s="28" t="inlineStr">
        <is>
          <t>Owner (Asanko)</t>
        </is>
      </c>
      <c r="H389" s="34" t="n">
        <v>7735</v>
      </c>
      <c r="I389" s="35" t="n">
        <v>5</v>
      </c>
      <c r="J389" s="35" t="n">
        <v>1</v>
      </c>
      <c r="K389" s="35" t="n">
        <v>0</v>
      </c>
      <c r="L389" s="35" t="n">
        <v>0</v>
      </c>
      <c r="M389" s="35" t="n">
        <v>2</v>
      </c>
      <c r="N389" s="35" t="n">
        <v>2</v>
      </c>
      <c r="O389" s="36" t="n">
        <v>0.9429999999999999</v>
      </c>
      <c r="P389" s="35" t="n">
        <v>1</v>
      </c>
      <c r="Q389" s="35" t="n">
        <v>1</v>
      </c>
      <c r="R389" s="35" t="n">
        <v>5</v>
      </c>
      <c r="S389" s="35" t="n">
        <v>5</v>
      </c>
      <c r="T389" s="37" t="n">
        <v>0.962</v>
      </c>
      <c r="U389" s="38">
        <f>IFERROR([@InspDone]/[@InspPlanned],0)</f>
        <v/>
      </c>
      <c r="V389" s="38">
        <f>IFERROR([@ObsClosed]/[@ObsRaised],0)</f>
        <v/>
      </c>
    </row>
    <row r="390">
      <c r="A390" s="33" t="n">
        <v>46082</v>
      </c>
      <c r="B390" s="28">
        <f>YEAR([@Period])</f>
        <v/>
      </c>
      <c r="C390" s="28">
        <f>TEXT([@Period],"mmm")</f>
        <v/>
      </c>
      <c r="D390" s="30">
        <f>MONTH([@Period])</f>
        <v/>
      </c>
      <c r="E390" s="28" t="inlineStr">
        <is>
          <t>Processing Plant (CIL)</t>
        </is>
      </c>
      <c r="F390" s="28" t="inlineStr">
        <is>
          <t>Processing</t>
        </is>
      </c>
      <c r="G390" s="28" t="inlineStr">
        <is>
          <t>Owner (Asanko)</t>
        </is>
      </c>
      <c r="H390" s="34" t="n">
        <v>16470</v>
      </c>
      <c r="I390" s="35" t="n">
        <v>7</v>
      </c>
      <c r="J390" s="35" t="n">
        <v>7</v>
      </c>
      <c r="K390" s="35" t="n">
        <v>9</v>
      </c>
      <c r="L390" s="35" t="n">
        <v>7</v>
      </c>
      <c r="M390" s="35" t="n">
        <v>5</v>
      </c>
      <c r="N390" s="35" t="n">
        <v>4</v>
      </c>
      <c r="O390" s="36" t="n">
        <v>0.896</v>
      </c>
      <c r="P390" s="35" t="n">
        <v>1</v>
      </c>
      <c r="Q390" s="35" t="n">
        <v>8</v>
      </c>
      <c r="R390" s="35" t="n">
        <v>15</v>
      </c>
      <c r="S390" s="35" t="n">
        <v>14</v>
      </c>
      <c r="T390" s="37" t="n">
        <v>0.99</v>
      </c>
      <c r="U390" s="38">
        <f>IFERROR([@InspDone]/[@InspPlanned],0)</f>
        <v/>
      </c>
      <c r="V390" s="38">
        <f>IFERROR([@ObsClosed]/[@ObsRaised],0)</f>
        <v/>
      </c>
    </row>
    <row r="391">
      <c r="A391" s="33" t="n">
        <v>46082</v>
      </c>
      <c r="B391" s="28">
        <f>YEAR([@Period])</f>
        <v/>
      </c>
      <c r="C391" s="28">
        <f>TEXT([@Period],"mmm")</f>
        <v/>
      </c>
      <c r="D391" s="30">
        <f>MONTH([@Period])</f>
        <v/>
      </c>
      <c r="E391" s="28" t="inlineStr">
        <is>
          <t>Elution &amp; Gold Room</t>
        </is>
      </c>
      <c r="F391" s="28" t="inlineStr">
        <is>
          <t>Processing</t>
        </is>
      </c>
      <c r="G391" s="28" t="inlineStr">
        <is>
          <t>Owner (Asanko)</t>
        </is>
      </c>
      <c r="H391" s="34" t="n">
        <v>4100</v>
      </c>
      <c r="I391" s="35" t="n">
        <v>4</v>
      </c>
      <c r="J391" s="35" t="n">
        <v>3</v>
      </c>
      <c r="K391" s="35" t="n">
        <v>2</v>
      </c>
      <c r="L391" s="35" t="n">
        <v>2</v>
      </c>
      <c r="M391" s="35" t="n">
        <v>2</v>
      </c>
      <c r="N391" s="35" t="n">
        <v>2</v>
      </c>
      <c r="O391" s="36" t="n">
        <v>0.958</v>
      </c>
      <c r="P391" s="35" t="n">
        <v>1</v>
      </c>
      <c r="Q391" s="35" t="n">
        <v>1</v>
      </c>
      <c r="R391" s="35" t="n">
        <v>3</v>
      </c>
      <c r="S391" s="35" t="n">
        <v>3</v>
      </c>
      <c r="T391" s="37" t="n">
        <v>0.96</v>
      </c>
      <c r="U391" s="38">
        <f>IFERROR([@InspDone]/[@InspPlanned],0)</f>
        <v/>
      </c>
      <c r="V391" s="38">
        <f>IFERROR([@ObsClosed]/[@ObsRaised],0)</f>
        <v/>
      </c>
    </row>
    <row r="392">
      <c r="A392" s="33" t="n">
        <v>46082</v>
      </c>
      <c r="B392" s="28">
        <f>YEAR([@Period])</f>
        <v/>
      </c>
      <c r="C392" s="28">
        <f>TEXT([@Period],"mmm")</f>
        <v/>
      </c>
      <c r="D392" s="30">
        <f>MONTH([@Period])</f>
        <v/>
      </c>
      <c r="E392" s="28" t="inlineStr">
        <is>
          <t>Tailings Storage Facility</t>
        </is>
      </c>
      <c r="F392" s="28" t="inlineStr">
        <is>
          <t>Environment</t>
        </is>
      </c>
      <c r="G392" s="28" t="inlineStr">
        <is>
          <t>Owner (Asanko)</t>
        </is>
      </c>
      <c r="H392" s="34" t="n">
        <v>3348</v>
      </c>
      <c r="I392" s="35" t="n">
        <v>1</v>
      </c>
      <c r="J392" s="35" t="n">
        <v>2</v>
      </c>
      <c r="K392" s="35" t="n">
        <v>2</v>
      </c>
      <c r="L392" s="35" t="n">
        <v>2</v>
      </c>
      <c r="M392" s="35" t="n">
        <v>2</v>
      </c>
      <c r="N392" s="35" t="n">
        <v>2</v>
      </c>
      <c r="O392" s="36" t="n">
        <v>0.883</v>
      </c>
      <c r="P392" s="35" t="n">
        <v>1</v>
      </c>
      <c r="Q392" s="35" t="n">
        <v>0</v>
      </c>
      <c r="R392" s="35" t="n">
        <v>3</v>
      </c>
      <c r="S392" s="35" t="n">
        <v>3</v>
      </c>
      <c r="T392" s="37" t="n">
        <v>0.978</v>
      </c>
      <c r="U392" s="38">
        <f>IFERROR([@InspDone]/[@InspPlanned],0)</f>
        <v/>
      </c>
      <c r="V392" s="38">
        <f>IFERROR([@ObsClosed]/[@ObsRaised],0)</f>
        <v/>
      </c>
    </row>
    <row r="393">
      <c r="A393" s="33" t="n">
        <v>46082</v>
      </c>
      <c r="B393" s="28">
        <f>YEAR([@Period])</f>
        <v/>
      </c>
      <c r="C393" s="28">
        <f>TEXT([@Period],"mmm")</f>
        <v/>
      </c>
      <c r="D393" s="30">
        <f>MONTH([@Period])</f>
        <v/>
      </c>
      <c r="E393" s="28" t="inlineStr">
        <is>
          <t>Water Treatment</t>
        </is>
      </c>
      <c r="F393" s="28" t="inlineStr">
        <is>
          <t>Environment</t>
        </is>
      </c>
      <c r="G393" s="28" t="inlineStr">
        <is>
          <t>Owner (Asanko)</t>
        </is>
      </c>
      <c r="H393" s="34" t="n">
        <v>2172</v>
      </c>
      <c r="I393" s="35" t="n">
        <v>1</v>
      </c>
      <c r="J393" s="35" t="n">
        <v>1</v>
      </c>
      <c r="K393" s="35" t="n">
        <v>1</v>
      </c>
      <c r="L393" s="35" t="n">
        <v>1</v>
      </c>
      <c r="M393" s="35" t="n">
        <v>2</v>
      </c>
      <c r="N393" s="35" t="n">
        <v>2</v>
      </c>
      <c r="O393" s="36" t="n">
        <v>0.925</v>
      </c>
      <c r="P393" s="35" t="n">
        <v>1</v>
      </c>
      <c r="Q393" s="35" t="n">
        <v>3</v>
      </c>
      <c r="R393" s="35" t="n">
        <v>3</v>
      </c>
      <c r="S393" s="35" t="n">
        <v>3</v>
      </c>
      <c r="T393" s="37" t="n">
        <v>0.966</v>
      </c>
      <c r="U393" s="38">
        <f>IFERROR([@InspDone]/[@InspPlanned],0)</f>
        <v/>
      </c>
      <c r="V393" s="38">
        <f>IFERROR([@ObsClosed]/[@ObsRaised],0)</f>
        <v/>
      </c>
    </row>
    <row r="394">
      <c r="A394" s="33" t="n">
        <v>46082</v>
      </c>
      <c r="B394" s="28">
        <f>YEAR([@Period])</f>
        <v/>
      </c>
      <c r="C394" s="28">
        <f>TEXT([@Period],"mmm")</f>
        <v/>
      </c>
      <c r="D394" s="30">
        <f>MONTH([@Period])</f>
        <v/>
      </c>
      <c r="E394" s="28" t="inlineStr">
        <is>
          <t>Assay Laboratory</t>
        </is>
      </c>
      <c r="F394" s="28" t="inlineStr">
        <is>
          <t>Laboratory</t>
        </is>
      </c>
      <c r="G394" s="28" t="inlineStr">
        <is>
          <t>SGS (Laboratory)</t>
        </is>
      </c>
      <c r="H394" s="34" t="n">
        <v>5200</v>
      </c>
      <c r="I394" s="35" t="n">
        <v>1</v>
      </c>
      <c r="J394" s="35" t="n">
        <v>1</v>
      </c>
      <c r="K394" s="35" t="n">
        <v>3</v>
      </c>
      <c r="L394" s="35" t="n">
        <v>3</v>
      </c>
      <c r="M394" s="35" t="n">
        <v>2</v>
      </c>
      <c r="N394" s="35" t="n">
        <v>2</v>
      </c>
      <c r="O394" s="36" t="n">
        <v>0.977</v>
      </c>
      <c r="P394" s="35" t="n">
        <v>1</v>
      </c>
      <c r="Q394" s="35" t="n">
        <v>2</v>
      </c>
      <c r="R394" s="35" t="n">
        <v>4</v>
      </c>
      <c r="S394" s="35" t="n">
        <v>4</v>
      </c>
      <c r="T394" s="37" t="n">
        <v>0.953</v>
      </c>
      <c r="U394" s="38">
        <f>IFERROR([@InspDone]/[@InspPlanned],0)</f>
        <v/>
      </c>
      <c r="V394" s="38">
        <f>IFERROR([@ObsClosed]/[@ObsRaised],0)</f>
        <v/>
      </c>
    </row>
    <row r="395">
      <c r="A395" s="33" t="n">
        <v>46082</v>
      </c>
      <c r="B395" s="28">
        <f>YEAR([@Period])</f>
        <v/>
      </c>
      <c r="C395" s="28">
        <f>TEXT([@Period],"mmm")</f>
        <v/>
      </c>
      <c r="D395" s="30">
        <f>MONTH([@Period])</f>
        <v/>
      </c>
      <c r="E395" s="28" t="inlineStr">
        <is>
          <t>HME Workshop</t>
        </is>
      </c>
      <c r="F395" s="28" t="inlineStr">
        <is>
          <t>Engineering</t>
        </is>
      </c>
      <c r="G395" s="28" t="inlineStr">
        <is>
          <t>Owner (Asanko)</t>
        </is>
      </c>
      <c r="H395" s="34" t="n">
        <v>10560</v>
      </c>
      <c r="I395" s="35" t="n">
        <v>4</v>
      </c>
      <c r="J395" s="35" t="n">
        <v>2</v>
      </c>
      <c r="K395" s="35" t="n">
        <v>4</v>
      </c>
      <c r="L395" s="35" t="n">
        <v>4</v>
      </c>
      <c r="M395" s="35" t="n">
        <v>3</v>
      </c>
      <c r="N395" s="35" t="n">
        <v>3</v>
      </c>
      <c r="O395" s="36" t="n">
        <v>0.952</v>
      </c>
      <c r="P395" s="35" t="n">
        <v>1</v>
      </c>
      <c r="Q395" s="35" t="n">
        <v>5</v>
      </c>
      <c r="R395" s="35" t="n">
        <v>9</v>
      </c>
      <c r="S395" s="35" t="n">
        <v>8</v>
      </c>
      <c r="T395" s="37" t="n">
        <v>0.966</v>
      </c>
      <c r="U395" s="38">
        <f>IFERROR([@InspDone]/[@InspPlanned],0)</f>
        <v/>
      </c>
      <c r="V395" s="38">
        <f>IFERROR([@ObsClosed]/[@ObsRaised],0)</f>
        <v/>
      </c>
    </row>
    <row r="396">
      <c r="A396" s="33" t="n">
        <v>46082</v>
      </c>
      <c r="B396" s="28">
        <f>YEAR([@Period])</f>
        <v/>
      </c>
      <c r="C396" s="28">
        <f>TEXT([@Period],"mmm")</f>
        <v/>
      </c>
      <c r="D396" s="30">
        <f>MONTH([@Period])</f>
        <v/>
      </c>
      <c r="E396" s="28" t="inlineStr">
        <is>
          <t>Fuel Farm</t>
        </is>
      </c>
      <c r="F396" s="28" t="inlineStr">
        <is>
          <t>Engineering</t>
        </is>
      </c>
      <c r="G396" s="28" t="inlineStr">
        <is>
          <t>Owner (Asanko)</t>
        </is>
      </c>
      <c r="H396" s="34" t="n">
        <v>2030</v>
      </c>
      <c r="I396" s="35" t="n">
        <v>1</v>
      </c>
      <c r="J396" s="35" t="n">
        <v>0</v>
      </c>
      <c r="K396" s="35" t="n">
        <v>1</v>
      </c>
      <c r="L396" s="35" t="n">
        <v>1</v>
      </c>
      <c r="M396" s="35" t="n">
        <v>2</v>
      </c>
      <c r="N396" s="35" t="n">
        <v>2</v>
      </c>
      <c r="O396" s="36" t="n">
        <v>0.9340000000000001</v>
      </c>
      <c r="P396" s="35" t="n">
        <v>0</v>
      </c>
      <c r="Q396" s="35" t="n">
        <v>2</v>
      </c>
      <c r="R396" s="35" t="n">
        <v>3</v>
      </c>
      <c r="S396" s="35" t="n">
        <v>3</v>
      </c>
      <c r="T396" s="37" t="n">
        <v>0.929</v>
      </c>
      <c r="U396" s="38">
        <f>IFERROR([@InspDone]/[@InspPlanned],0)</f>
        <v/>
      </c>
      <c r="V396" s="38">
        <f>IFERROR([@ObsClosed]/[@ObsRaised],0)</f>
        <v/>
      </c>
    </row>
    <row r="397">
      <c r="A397" s="33" t="n">
        <v>46082</v>
      </c>
      <c r="B397" s="28">
        <f>YEAR([@Period])</f>
        <v/>
      </c>
      <c r="C397" s="28">
        <f>TEXT([@Period],"mmm")</f>
        <v/>
      </c>
      <c r="D397" s="30">
        <f>MONTH([@Period])</f>
        <v/>
      </c>
      <c r="E397" s="28" t="inlineStr">
        <is>
          <t>Power Station</t>
        </is>
      </c>
      <c r="F397" s="28" t="inlineStr">
        <is>
          <t>Engineering</t>
        </is>
      </c>
      <c r="G397" s="28" t="inlineStr">
        <is>
          <t>Genser (Power)</t>
        </is>
      </c>
      <c r="H397" s="34" t="n">
        <v>4004</v>
      </c>
      <c r="I397" s="35" t="n">
        <v>2</v>
      </c>
      <c r="J397" s="35" t="n">
        <v>1</v>
      </c>
      <c r="K397" s="35" t="n">
        <v>1</v>
      </c>
      <c r="L397" s="35" t="n">
        <v>1</v>
      </c>
      <c r="M397" s="35" t="n">
        <v>2</v>
      </c>
      <c r="N397" s="35" t="n">
        <v>2</v>
      </c>
      <c r="O397" s="36" t="n">
        <v>0.9</v>
      </c>
      <c r="P397" s="35" t="n">
        <v>0</v>
      </c>
      <c r="Q397" s="35" t="n">
        <v>1</v>
      </c>
      <c r="R397" s="35" t="n">
        <v>3</v>
      </c>
      <c r="S397" s="35" t="n">
        <v>3</v>
      </c>
      <c r="T397" s="37" t="n">
        <v>0.988</v>
      </c>
      <c r="U397" s="38">
        <f>IFERROR([@InspDone]/[@InspPlanned],0)</f>
        <v/>
      </c>
      <c r="V397" s="38">
        <f>IFERROR([@ObsClosed]/[@ObsRaised],0)</f>
        <v/>
      </c>
    </row>
    <row r="398">
      <c r="A398" s="33" t="n">
        <v>46082</v>
      </c>
      <c r="B398" s="28">
        <f>YEAR([@Period])</f>
        <v/>
      </c>
      <c r="C398" s="28">
        <f>TEXT([@Period],"mmm")</f>
        <v/>
      </c>
      <c r="D398" s="30">
        <f>MONTH([@Period])</f>
        <v/>
      </c>
      <c r="E398" s="28" t="inlineStr">
        <is>
          <t>Warehouse &amp; Stores</t>
        </is>
      </c>
      <c r="F398" s="28" t="inlineStr">
        <is>
          <t>Logistics</t>
        </is>
      </c>
      <c r="G398" s="28" t="inlineStr">
        <is>
          <t>Owner (Asanko)</t>
        </is>
      </c>
      <c r="H398" s="34" t="n">
        <v>5472</v>
      </c>
      <c r="I398" s="35" t="n">
        <v>1</v>
      </c>
      <c r="J398" s="35" t="n">
        <v>1</v>
      </c>
      <c r="K398" s="35" t="n">
        <v>1</v>
      </c>
      <c r="L398" s="35" t="n">
        <v>1</v>
      </c>
      <c r="M398" s="35" t="n">
        <v>2</v>
      </c>
      <c r="N398" s="35" t="n">
        <v>2</v>
      </c>
      <c r="O398" s="36" t="n">
        <v>0.967</v>
      </c>
      <c r="P398" s="35" t="n">
        <v>1</v>
      </c>
      <c r="Q398" s="35" t="n">
        <v>6</v>
      </c>
      <c r="R398" s="35" t="n">
        <v>4</v>
      </c>
      <c r="S398" s="35" t="n">
        <v>4</v>
      </c>
      <c r="T398" s="37" t="n">
        <v>0.911</v>
      </c>
      <c r="U398" s="38">
        <f>IFERROR([@InspDone]/[@InspPlanned],0)</f>
        <v/>
      </c>
      <c r="V398" s="38">
        <f>IFERROR([@ObsClosed]/[@ObsRaised],0)</f>
        <v/>
      </c>
    </row>
    <row r="399">
      <c r="A399" s="33" t="n">
        <v>46082</v>
      </c>
      <c r="B399" s="28">
        <f>YEAR([@Period])</f>
        <v/>
      </c>
      <c r="C399" s="28">
        <f>TEXT([@Period],"mmm")</f>
        <v/>
      </c>
      <c r="D399" s="30">
        <f>MONTH([@Period])</f>
        <v/>
      </c>
      <c r="E399" s="28" t="inlineStr">
        <is>
          <t>Administration</t>
        </is>
      </c>
      <c r="F399" s="28" t="inlineStr">
        <is>
          <t>Administration</t>
        </is>
      </c>
      <c r="G399" s="28" t="inlineStr">
        <is>
          <t>Owner (Asanko)</t>
        </is>
      </c>
      <c r="H399" s="34" t="n">
        <v>12900</v>
      </c>
      <c r="I399" s="35" t="n">
        <v>2</v>
      </c>
      <c r="J399" s="35" t="n">
        <v>2</v>
      </c>
      <c r="K399" s="35" t="n">
        <v>3</v>
      </c>
      <c r="L399" s="35" t="n">
        <v>3</v>
      </c>
      <c r="M399" s="35" t="n">
        <v>3</v>
      </c>
      <c r="N399" s="35" t="n">
        <v>3</v>
      </c>
      <c r="O399" s="36" t="n">
        <v>0.928</v>
      </c>
      <c r="P399" s="35" t="n">
        <v>0</v>
      </c>
      <c r="Q399" s="35" t="n">
        <v>5</v>
      </c>
      <c r="R399" s="35" t="n">
        <v>10</v>
      </c>
      <c r="S399" s="35" t="n">
        <v>9</v>
      </c>
      <c r="T399" s="37" t="n">
        <v>0.969</v>
      </c>
      <c r="U399" s="38">
        <f>IFERROR([@InspDone]/[@InspPlanned],0)</f>
        <v/>
      </c>
      <c r="V399" s="38">
        <f>IFERROR([@ObsClosed]/[@ObsRaised],0)</f>
        <v/>
      </c>
    </row>
    <row r="400">
      <c r="A400" s="33" t="n">
        <v>46082</v>
      </c>
      <c r="B400" s="28">
        <f>YEAR([@Period])</f>
        <v/>
      </c>
      <c r="C400" s="28">
        <f>TEXT([@Period],"mmm")</f>
        <v/>
      </c>
      <c r="D400" s="30">
        <f>MONTH([@Period])</f>
        <v/>
      </c>
      <c r="E400" s="28" t="inlineStr">
        <is>
          <t>Accommodation Camp</t>
        </is>
      </c>
      <c r="F400" s="28" t="inlineStr">
        <is>
          <t>Administration</t>
        </is>
      </c>
      <c r="G400" s="28" t="inlineStr">
        <is>
          <t>Catering Co (Camp)</t>
        </is>
      </c>
      <c r="H400" s="34" t="n">
        <v>6720</v>
      </c>
      <c r="I400" s="35" t="n">
        <v>2</v>
      </c>
      <c r="J400" s="35" t="n">
        <v>1</v>
      </c>
      <c r="K400" s="35" t="n">
        <v>2</v>
      </c>
      <c r="L400" s="35" t="n">
        <v>2</v>
      </c>
      <c r="M400" s="35" t="n">
        <v>2</v>
      </c>
      <c r="N400" s="35" t="n">
        <v>2</v>
      </c>
      <c r="O400" s="36" t="n">
        <v>0.969</v>
      </c>
      <c r="P400" s="35" t="n">
        <v>1</v>
      </c>
      <c r="Q400" s="35" t="n">
        <v>2</v>
      </c>
      <c r="R400" s="35" t="n">
        <v>5</v>
      </c>
      <c r="S400" s="35" t="n">
        <v>5</v>
      </c>
      <c r="T400" s="37" t="n">
        <v>0.952</v>
      </c>
      <c r="U400" s="38">
        <f>IFERROR([@InspDone]/[@InspPlanned],0)</f>
        <v/>
      </c>
      <c r="V400" s="38">
        <f>IFERROR([@ObsClosed]/[@ObsRaised],0)</f>
        <v/>
      </c>
    </row>
    <row r="401">
      <c r="A401" s="33" t="n">
        <v>46082</v>
      </c>
      <c r="B401" s="28">
        <f>YEAR([@Period])</f>
        <v/>
      </c>
      <c r="C401" s="28">
        <f>TEXT([@Period],"mmm")</f>
        <v/>
      </c>
      <c r="D401" s="30">
        <f>MONTH([@Period])</f>
        <v/>
      </c>
      <c r="E401" s="28" t="inlineStr">
        <is>
          <t>Security Gatehouse</t>
        </is>
      </c>
      <c r="F401" s="28" t="inlineStr">
        <is>
          <t>Security</t>
        </is>
      </c>
      <c r="G401" s="28" t="inlineStr">
        <is>
          <t>G4S (Security)</t>
        </is>
      </c>
      <c r="H401" s="34" t="n">
        <v>9810</v>
      </c>
      <c r="I401" s="35" t="n">
        <v>0</v>
      </c>
      <c r="J401" s="35" t="n">
        <v>1</v>
      </c>
      <c r="K401" s="35" t="n">
        <v>5</v>
      </c>
      <c r="L401" s="35" t="n">
        <v>4</v>
      </c>
      <c r="M401" s="35" t="n">
        <v>2</v>
      </c>
      <c r="N401" s="35" t="n">
        <v>2</v>
      </c>
      <c r="O401" s="36" t="n">
        <v>0.948</v>
      </c>
      <c r="P401" s="35" t="n">
        <v>1</v>
      </c>
      <c r="Q401" s="35" t="n">
        <v>5</v>
      </c>
      <c r="R401" s="35" t="n">
        <v>7</v>
      </c>
      <c r="S401" s="35" t="n">
        <v>7</v>
      </c>
      <c r="T401" s="37" t="n">
        <v>0.973</v>
      </c>
      <c r="U401" s="38">
        <f>IFERROR([@InspDone]/[@InspPlanned],0)</f>
        <v/>
      </c>
      <c r="V401" s="38">
        <f>IFERROR([@ObsClosed]/[@ObsRaised],0)</f>
        <v/>
      </c>
    </row>
    <row r="402">
      <c r="A402" s="33" t="n">
        <v>46113</v>
      </c>
      <c r="B402" s="28">
        <f>YEAR([@Period])</f>
        <v/>
      </c>
      <c r="C402" s="28">
        <f>TEXT([@Period],"mmm")</f>
        <v/>
      </c>
      <c r="D402" s="30">
        <f>MONTH([@Period])</f>
        <v/>
      </c>
      <c r="E402" s="28" t="inlineStr">
        <is>
          <t>Nkran Open Pit</t>
        </is>
      </c>
      <c r="F402" s="28" t="inlineStr">
        <is>
          <t>Mining</t>
        </is>
      </c>
      <c r="G402" s="28" t="inlineStr">
        <is>
          <t>AUMS (Mining Contractor)</t>
        </is>
      </c>
      <c r="H402" s="34" t="n">
        <v>23520</v>
      </c>
      <c r="I402" s="35" t="n">
        <v>6</v>
      </c>
      <c r="J402" s="35" t="n">
        <v>8</v>
      </c>
      <c r="K402" s="35" t="n">
        <v>11</v>
      </c>
      <c r="L402" s="35" t="n">
        <v>8</v>
      </c>
      <c r="M402" s="35" t="n">
        <v>6</v>
      </c>
      <c r="N402" s="35" t="n">
        <v>6</v>
      </c>
      <c r="O402" s="36" t="n">
        <v>0.885</v>
      </c>
      <c r="P402" s="35" t="n">
        <v>1</v>
      </c>
      <c r="Q402" s="35" t="n">
        <v>10</v>
      </c>
      <c r="R402" s="35" t="n">
        <v>20</v>
      </c>
      <c r="S402" s="35" t="n">
        <v>20</v>
      </c>
      <c r="T402" s="37" t="n">
        <v>0.999</v>
      </c>
      <c r="U402" s="38">
        <f>IFERROR([@InspDone]/[@InspPlanned],0)</f>
        <v/>
      </c>
      <c r="V402" s="38">
        <f>IFERROR([@ObsClosed]/[@ObsRaised],0)</f>
        <v/>
      </c>
    </row>
    <row r="403">
      <c r="A403" s="33" t="n">
        <v>46113</v>
      </c>
      <c r="B403" s="28">
        <f>YEAR([@Period])</f>
        <v/>
      </c>
      <c r="C403" s="28">
        <f>TEXT([@Period],"mmm")</f>
        <v/>
      </c>
      <c r="D403" s="30">
        <f>MONTH([@Period])</f>
        <v/>
      </c>
      <c r="E403" s="28" t="inlineStr">
        <is>
          <t>Esaase Open Pit</t>
        </is>
      </c>
      <c r="F403" s="28" t="inlineStr">
        <is>
          <t>Mining</t>
        </is>
      </c>
      <c r="G403" s="28" t="inlineStr">
        <is>
          <t>AUMS (Mining Contractor)</t>
        </is>
      </c>
      <c r="H403" s="34" t="n">
        <v>22220</v>
      </c>
      <c r="I403" s="35" t="n">
        <v>4</v>
      </c>
      <c r="J403" s="35" t="n">
        <v>2</v>
      </c>
      <c r="K403" s="35" t="n">
        <v>8</v>
      </c>
      <c r="L403" s="35" t="n">
        <v>7</v>
      </c>
      <c r="M403" s="35" t="n">
        <v>6</v>
      </c>
      <c r="N403" s="35" t="n">
        <v>5</v>
      </c>
      <c r="O403" s="36" t="n">
        <v>0.908</v>
      </c>
      <c r="P403" s="35" t="n">
        <v>0</v>
      </c>
      <c r="Q403" s="35" t="n">
        <v>12</v>
      </c>
      <c r="R403" s="35" t="n">
        <v>18</v>
      </c>
      <c r="S403" s="35" t="n">
        <v>17</v>
      </c>
      <c r="T403" s="37" t="n">
        <v>0.981</v>
      </c>
      <c r="U403" s="38">
        <f>IFERROR([@InspDone]/[@InspPlanned],0)</f>
        <v/>
      </c>
      <c r="V403" s="38">
        <f>IFERROR([@ObsClosed]/[@ObsRaised],0)</f>
        <v/>
      </c>
    </row>
    <row r="404">
      <c r="A404" s="33" t="n">
        <v>46113</v>
      </c>
      <c r="B404" s="28">
        <f>YEAR([@Period])</f>
        <v/>
      </c>
      <c r="C404" s="28">
        <f>TEXT([@Period],"mmm")</f>
        <v/>
      </c>
      <c r="D404" s="30">
        <f>MONTH([@Period])</f>
        <v/>
      </c>
      <c r="E404" s="28" t="inlineStr">
        <is>
          <t>Drill &amp; Blast</t>
        </is>
      </c>
      <c r="F404" s="28" t="inlineStr">
        <is>
          <t>Mining</t>
        </is>
      </c>
      <c r="G404" s="28" t="inlineStr">
        <is>
          <t>Maxam (Blasting)</t>
        </is>
      </c>
      <c r="H404" s="34" t="n">
        <v>8320</v>
      </c>
      <c r="I404" s="35" t="n">
        <v>2</v>
      </c>
      <c r="J404" s="35" t="n">
        <v>1</v>
      </c>
      <c r="K404" s="35" t="n">
        <v>4</v>
      </c>
      <c r="L404" s="35" t="n">
        <v>4</v>
      </c>
      <c r="M404" s="35" t="n">
        <v>2</v>
      </c>
      <c r="N404" s="35" t="n">
        <v>2</v>
      </c>
      <c r="O404" s="36" t="n">
        <v>0.965</v>
      </c>
      <c r="P404" s="35" t="n">
        <v>1</v>
      </c>
      <c r="Q404" s="35" t="n">
        <v>3</v>
      </c>
      <c r="R404" s="35" t="n">
        <v>6</v>
      </c>
      <c r="S404" s="35" t="n">
        <v>6</v>
      </c>
      <c r="T404" s="37" t="n">
        <v>0.9419999999999999</v>
      </c>
      <c r="U404" s="38">
        <f>IFERROR([@InspDone]/[@InspPlanned],0)</f>
        <v/>
      </c>
      <c r="V404" s="38">
        <f>IFERROR([@ObsClosed]/[@ObsRaised],0)</f>
        <v/>
      </c>
    </row>
    <row r="405">
      <c r="A405" s="33" t="n">
        <v>46113</v>
      </c>
      <c r="B405" s="28">
        <f>YEAR([@Period])</f>
        <v/>
      </c>
      <c r="C405" s="28">
        <f>TEXT([@Period],"mmm")</f>
        <v/>
      </c>
      <c r="D405" s="30">
        <f>MONTH([@Period])</f>
        <v/>
      </c>
      <c r="E405" s="28" t="inlineStr">
        <is>
          <t>Haul Roads</t>
        </is>
      </c>
      <c r="F405" s="28" t="inlineStr">
        <is>
          <t>Mining</t>
        </is>
      </c>
      <c r="G405" s="28" t="inlineStr">
        <is>
          <t>AUMS (Mining Contractor)</t>
        </is>
      </c>
      <c r="H405" s="34" t="n">
        <v>13620</v>
      </c>
      <c r="I405" s="35" t="n">
        <v>0</v>
      </c>
      <c r="J405" s="35" t="n">
        <v>2</v>
      </c>
      <c r="K405" s="35" t="n">
        <v>7</v>
      </c>
      <c r="L405" s="35" t="n">
        <v>5</v>
      </c>
      <c r="M405" s="35" t="n">
        <v>3</v>
      </c>
      <c r="N405" s="35" t="n">
        <v>3</v>
      </c>
      <c r="O405" s="36" t="n">
        <v>0.976</v>
      </c>
      <c r="P405" s="35" t="n">
        <v>0</v>
      </c>
      <c r="Q405" s="35" t="n">
        <v>6</v>
      </c>
      <c r="R405" s="35" t="n">
        <v>10</v>
      </c>
      <c r="S405" s="35" t="n">
        <v>10</v>
      </c>
      <c r="T405" s="37" t="n">
        <v>0.9409999999999999</v>
      </c>
      <c r="U405" s="38">
        <f>IFERROR([@InspDone]/[@InspPlanned],0)</f>
        <v/>
      </c>
      <c r="V405" s="38">
        <f>IFERROR([@ObsClosed]/[@ObsRaised],0)</f>
        <v/>
      </c>
    </row>
    <row r="406">
      <c r="A406" s="33" t="n">
        <v>46113</v>
      </c>
      <c r="B406" s="28">
        <f>YEAR([@Period])</f>
        <v/>
      </c>
      <c r="C406" s="28">
        <f>TEXT([@Period],"mmm")</f>
        <v/>
      </c>
      <c r="D406" s="30">
        <f>MONTH([@Period])</f>
        <v/>
      </c>
      <c r="E406" s="28" t="inlineStr">
        <is>
          <t>Explosives Magazine</t>
        </is>
      </c>
      <c r="F406" s="28" t="inlineStr">
        <is>
          <t>Mining</t>
        </is>
      </c>
      <c r="G406" s="28" t="inlineStr">
        <is>
          <t>Maxam (Blasting)</t>
        </is>
      </c>
      <c r="H406" s="34" t="n">
        <v>3210</v>
      </c>
      <c r="I406" s="35" t="n">
        <v>2</v>
      </c>
      <c r="J406" s="35" t="n">
        <v>3</v>
      </c>
      <c r="K406" s="35" t="n">
        <v>1</v>
      </c>
      <c r="L406" s="35" t="n">
        <v>1</v>
      </c>
      <c r="M406" s="35" t="n">
        <v>2</v>
      </c>
      <c r="N406" s="35" t="n">
        <v>2</v>
      </c>
      <c r="O406" s="36" t="n">
        <v>0.968</v>
      </c>
      <c r="P406" s="35" t="n">
        <v>0</v>
      </c>
      <c r="Q406" s="35" t="n">
        <v>3</v>
      </c>
      <c r="R406" s="35" t="n">
        <v>3</v>
      </c>
      <c r="S406" s="35" t="n">
        <v>3</v>
      </c>
      <c r="T406" s="37" t="n">
        <v>0.987</v>
      </c>
      <c r="U406" s="38">
        <f>IFERROR([@InspDone]/[@InspPlanned],0)</f>
        <v/>
      </c>
      <c r="V406" s="38">
        <f>IFERROR([@ObsClosed]/[@ObsRaised],0)</f>
        <v/>
      </c>
    </row>
    <row r="407">
      <c r="A407" s="33" t="n">
        <v>46113</v>
      </c>
      <c r="B407" s="28">
        <f>YEAR([@Period])</f>
        <v/>
      </c>
      <c r="C407" s="28">
        <f>TEXT([@Period],"mmm")</f>
        <v/>
      </c>
      <c r="D407" s="30">
        <f>MONTH([@Period])</f>
        <v/>
      </c>
      <c r="E407" s="28" t="inlineStr">
        <is>
          <t>Crushing Circuit</t>
        </is>
      </c>
      <c r="F407" s="28" t="inlineStr">
        <is>
          <t>Processing</t>
        </is>
      </c>
      <c r="G407" s="28" t="inlineStr">
        <is>
          <t>Owner (Asanko)</t>
        </is>
      </c>
      <c r="H407" s="34" t="n">
        <v>7980</v>
      </c>
      <c r="I407" s="35" t="n">
        <v>3</v>
      </c>
      <c r="J407" s="35" t="n">
        <v>1</v>
      </c>
      <c r="K407" s="35" t="n">
        <v>2</v>
      </c>
      <c r="L407" s="35" t="n">
        <v>2</v>
      </c>
      <c r="M407" s="35" t="n">
        <v>2</v>
      </c>
      <c r="N407" s="35" t="n">
        <v>2</v>
      </c>
      <c r="O407" s="36" t="n">
        <v>0.987</v>
      </c>
      <c r="P407" s="35" t="n">
        <v>0</v>
      </c>
      <c r="Q407" s="35" t="n">
        <v>5</v>
      </c>
      <c r="R407" s="35" t="n">
        <v>5</v>
      </c>
      <c r="S407" s="35" t="n">
        <v>5</v>
      </c>
      <c r="T407" s="37" t="n">
        <v>0.981</v>
      </c>
      <c r="U407" s="38">
        <f>IFERROR([@InspDone]/[@InspPlanned],0)</f>
        <v/>
      </c>
      <c r="V407" s="38">
        <f>IFERROR([@ObsClosed]/[@ObsRaised],0)</f>
        <v/>
      </c>
    </row>
    <row r="408">
      <c r="A408" s="33" t="n">
        <v>46113</v>
      </c>
      <c r="B408" s="28">
        <f>YEAR([@Period])</f>
        <v/>
      </c>
      <c r="C408" s="28">
        <f>TEXT([@Period],"mmm")</f>
        <v/>
      </c>
      <c r="D408" s="30">
        <f>MONTH([@Period])</f>
        <v/>
      </c>
      <c r="E408" s="28" t="inlineStr">
        <is>
          <t>Processing Plant (CIL)</t>
        </is>
      </c>
      <c r="F408" s="28" t="inlineStr">
        <is>
          <t>Processing</t>
        </is>
      </c>
      <c r="G408" s="28" t="inlineStr">
        <is>
          <t>Owner (Asanko)</t>
        </is>
      </c>
      <c r="H408" s="34" t="n">
        <v>17280</v>
      </c>
      <c r="I408" s="35" t="n">
        <v>8</v>
      </c>
      <c r="J408" s="35" t="n">
        <v>5</v>
      </c>
      <c r="K408" s="35" t="n">
        <v>12</v>
      </c>
      <c r="L408" s="35" t="n">
        <v>9</v>
      </c>
      <c r="M408" s="35" t="n">
        <v>5</v>
      </c>
      <c r="N408" s="35" t="n">
        <v>5</v>
      </c>
      <c r="O408" s="36" t="n">
        <v>0.903</v>
      </c>
      <c r="P408" s="35" t="n">
        <v>1</v>
      </c>
      <c r="Q408" s="35" t="n">
        <v>12</v>
      </c>
      <c r="R408" s="35" t="n">
        <v>15</v>
      </c>
      <c r="S408" s="35" t="n">
        <v>15</v>
      </c>
      <c r="T408" s="37" t="n">
        <v>0.9419999999999999</v>
      </c>
      <c r="U408" s="38">
        <f>IFERROR([@InspDone]/[@InspPlanned],0)</f>
        <v/>
      </c>
      <c r="V408" s="38">
        <f>IFERROR([@ObsClosed]/[@ObsRaised],0)</f>
        <v/>
      </c>
    </row>
    <row r="409">
      <c r="A409" s="33" t="n">
        <v>46113</v>
      </c>
      <c r="B409" s="28">
        <f>YEAR([@Period])</f>
        <v/>
      </c>
      <c r="C409" s="28">
        <f>TEXT([@Period],"mmm")</f>
        <v/>
      </c>
      <c r="D409" s="30">
        <f>MONTH([@Period])</f>
        <v/>
      </c>
      <c r="E409" s="28" t="inlineStr">
        <is>
          <t>Elution &amp; Gold Room</t>
        </is>
      </c>
      <c r="F409" s="28" t="inlineStr">
        <is>
          <t>Processing</t>
        </is>
      </c>
      <c r="G409" s="28" t="inlineStr">
        <is>
          <t>Owner (Asanko)</t>
        </is>
      </c>
      <c r="H409" s="34" t="n">
        <v>4140</v>
      </c>
      <c r="I409" s="35" t="n">
        <v>3</v>
      </c>
      <c r="J409" s="35" t="n">
        <v>1</v>
      </c>
      <c r="K409" s="35" t="n">
        <v>2</v>
      </c>
      <c r="L409" s="35" t="n">
        <v>2</v>
      </c>
      <c r="M409" s="35" t="n">
        <v>2</v>
      </c>
      <c r="N409" s="35" t="n">
        <v>2</v>
      </c>
      <c r="O409" s="36" t="n">
        <v>0.909</v>
      </c>
      <c r="P409" s="35" t="n">
        <v>0</v>
      </c>
      <c r="Q409" s="35" t="n">
        <v>3</v>
      </c>
      <c r="R409" s="35" t="n">
        <v>3</v>
      </c>
      <c r="S409" s="35" t="n">
        <v>3</v>
      </c>
      <c r="T409" s="37" t="n">
        <v>0.901</v>
      </c>
      <c r="U409" s="38">
        <f>IFERROR([@InspDone]/[@InspPlanned],0)</f>
        <v/>
      </c>
      <c r="V409" s="38">
        <f>IFERROR([@ObsClosed]/[@ObsRaised],0)</f>
        <v/>
      </c>
    </row>
    <row r="410">
      <c r="A410" s="33" t="n">
        <v>46113</v>
      </c>
      <c r="B410" s="28">
        <f>YEAR([@Period])</f>
        <v/>
      </c>
      <c r="C410" s="28">
        <f>TEXT([@Period],"mmm")</f>
        <v/>
      </c>
      <c r="D410" s="30">
        <f>MONTH([@Period])</f>
        <v/>
      </c>
      <c r="E410" s="28" t="inlineStr">
        <is>
          <t>Tailings Storage Facility</t>
        </is>
      </c>
      <c r="F410" s="28" t="inlineStr">
        <is>
          <t>Environment</t>
        </is>
      </c>
      <c r="G410" s="28" t="inlineStr">
        <is>
          <t>Owner (Asanko)</t>
        </is>
      </c>
      <c r="H410" s="34" t="n">
        <v>3924</v>
      </c>
      <c r="I410" s="35" t="n">
        <v>2</v>
      </c>
      <c r="J410" s="35" t="n">
        <v>0</v>
      </c>
      <c r="K410" s="35" t="n">
        <v>2</v>
      </c>
      <c r="L410" s="35" t="n">
        <v>2</v>
      </c>
      <c r="M410" s="35" t="n">
        <v>2</v>
      </c>
      <c r="N410" s="35" t="n">
        <v>2</v>
      </c>
      <c r="O410" s="36" t="n">
        <v>0.944</v>
      </c>
      <c r="P410" s="35" t="n">
        <v>1</v>
      </c>
      <c r="Q410" s="35" t="n">
        <v>2</v>
      </c>
      <c r="R410" s="35" t="n">
        <v>3</v>
      </c>
      <c r="S410" s="35" t="n">
        <v>3</v>
      </c>
      <c r="T410" s="37" t="n">
        <v>0.89</v>
      </c>
      <c r="U410" s="38">
        <f>IFERROR([@InspDone]/[@InspPlanned],0)</f>
        <v/>
      </c>
      <c r="V410" s="38">
        <f>IFERROR([@ObsClosed]/[@ObsRaised],0)</f>
        <v/>
      </c>
    </row>
    <row r="411">
      <c r="A411" s="33" t="n">
        <v>46113</v>
      </c>
      <c r="B411" s="28">
        <f>YEAR([@Period])</f>
        <v/>
      </c>
      <c r="C411" s="28">
        <f>TEXT([@Period],"mmm")</f>
        <v/>
      </c>
      <c r="D411" s="30">
        <f>MONTH([@Period])</f>
        <v/>
      </c>
      <c r="E411" s="28" t="inlineStr">
        <is>
          <t>Water Treatment</t>
        </is>
      </c>
      <c r="F411" s="28" t="inlineStr">
        <is>
          <t>Environment</t>
        </is>
      </c>
      <c r="G411" s="28" t="inlineStr">
        <is>
          <t>Owner (Asanko)</t>
        </is>
      </c>
      <c r="H411" s="34" t="n">
        <v>2700</v>
      </c>
      <c r="I411" s="35" t="n">
        <v>3</v>
      </c>
      <c r="J411" s="35" t="n">
        <v>2</v>
      </c>
      <c r="K411" s="35" t="n">
        <v>3</v>
      </c>
      <c r="L411" s="35" t="n">
        <v>3</v>
      </c>
      <c r="M411" s="35" t="n">
        <v>2</v>
      </c>
      <c r="N411" s="35" t="n">
        <v>2</v>
      </c>
      <c r="O411" s="36" t="n">
        <v>0.99</v>
      </c>
      <c r="P411" s="35" t="n">
        <v>0</v>
      </c>
      <c r="Q411" s="35" t="n">
        <v>5</v>
      </c>
      <c r="R411" s="35" t="n">
        <v>3</v>
      </c>
      <c r="S411" s="35" t="n">
        <v>3</v>
      </c>
      <c r="T411" s="37" t="n">
        <v>0.889</v>
      </c>
      <c r="U411" s="38">
        <f>IFERROR([@InspDone]/[@InspPlanned],0)</f>
        <v/>
      </c>
      <c r="V411" s="38">
        <f>IFERROR([@ObsClosed]/[@ObsRaised],0)</f>
        <v/>
      </c>
    </row>
    <row r="412">
      <c r="A412" s="33" t="n">
        <v>46113</v>
      </c>
      <c r="B412" s="28">
        <f>YEAR([@Period])</f>
        <v/>
      </c>
      <c r="C412" s="28">
        <f>TEXT([@Period],"mmm")</f>
        <v/>
      </c>
      <c r="D412" s="30">
        <f>MONTH([@Period])</f>
        <v/>
      </c>
      <c r="E412" s="28" t="inlineStr">
        <is>
          <t>Assay Laboratory</t>
        </is>
      </c>
      <c r="F412" s="28" t="inlineStr">
        <is>
          <t>Laboratory</t>
        </is>
      </c>
      <c r="G412" s="28" t="inlineStr">
        <is>
          <t>SGS (Laboratory)</t>
        </is>
      </c>
      <c r="H412" s="34" t="n">
        <v>5250</v>
      </c>
      <c r="I412" s="35" t="n">
        <v>1</v>
      </c>
      <c r="J412" s="35" t="n">
        <v>2</v>
      </c>
      <c r="K412" s="35" t="n">
        <v>1</v>
      </c>
      <c r="L412" s="35" t="n">
        <v>1</v>
      </c>
      <c r="M412" s="35" t="n">
        <v>2</v>
      </c>
      <c r="N412" s="35" t="n">
        <v>2</v>
      </c>
      <c r="O412" s="36" t="n">
        <v>0.901</v>
      </c>
      <c r="P412" s="35" t="n">
        <v>0</v>
      </c>
      <c r="Q412" s="35" t="n">
        <v>1</v>
      </c>
      <c r="R412" s="35" t="n">
        <v>4</v>
      </c>
      <c r="S412" s="35" t="n">
        <v>4</v>
      </c>
      <c r="T412" s="37" t="n">
        <v>0.9320000000000001</v>
      </c>
      <c r="U412" s="38">
        <f>IFERROR([@InspDone]/[@InspPlanned],0)</f>
        <v/>
      </c>
      <c r="V412" s="38">
        <f>IFERROR([@ObsClosed]/[@ObsRaised],0)</f>
        <v/>
      </c>
    </row>
    <row r="413">
      <c r="A413" s="33" t="n">
        <v>46113</v>
      </c>
      <c r="B413" s="28">
        <f>YEAR([@Period])</f>
        <v/>
      </c>
      <c r="C413" s="28">
        <f>TEXT([@Period],"mmm")</f>
        <v/>
      </c>
      <c r="D413" s="30">
        <f>MONTH([@Period])</f>
        <v/>
      </c>
      <c r="E413" s="28" t="inlineStr">
        <is>
          <t>HME Workshop</t>
        </is>
      </c>
      <c r="F413" s="28" t="inlineStr">
        <is>
          <t>Engineering</t>
        </is>
      </c>
      <c r="G413" s="28" t="inlineStr">
        <is>
          <t>Owner (Asanko)</t>
        </is>
      </c>
      <c r="H413" s="34" t="n">
        <v>10230</v>
      </c>
      <c r="I413" s="35" t="n">
        <v>4</v>
      </c>
      <c r="J413" s="35" t="n">
        <v>1</v>
      </c>
      <c r="K413" s="35" t="n">
        <v>3</v>
      </c>
      <c r="L413" s="35" t="n">
        <v>2</v>
      </c>
      <c r="M413" s="35" t="n">
        <v>3</v>
      </c>
      <c r="N413" s="35" t="n">
        <v>3</v>
      </c>
      <c r="O413" s="36" t="n">
        <v>0.9389999999999999</v>
      </c>
      <c r="P413" s="35" t="n">
        <v>0</v>
      </c>
      <c r="Q413" s="35" t="n">
        <v>6</v>
      </c>
      <c r="R413" s="35" t="n">
        <v>9</v>
      </c>
      <c r="S413" s="35" t="n">
        <v>9</v>
      </c>
      <c r="T413" s="37" t="n">
        <v>0.923</v>
      </c>
      <c r="U413" s="38">
        <f>IFERROR([@InspDone]/[@InspPlanned],0)</f>
        <v/>
      </c>
      <c r="V413" s="38">
        <f>IFERROR([@ObsClosed]/[@ObsRaised],0)</f>
        <v/>
      </c>
    </row>
    <row r="414">
      <c r="A414" s="33" t="n">
        <v>46113</v>
      </c>
      <c r="B414" s="28">
        <f>YEAR([@Period])</f>
        <v/>
      </c>
      <c r="C414" s="28">
        <f>TEXT([@Period],"mmm")</f>
        <v/>
      </c>
      <c r="D414" s="30">
        <f>MONTH([@Period])</f>
        <v/>
      </c>
      <c r="E414" s="28" t="inlineStr">
        <is>
          <t>Fuel Farm</t>
        </is>
      </c>
      <c r="F414" s="28" t="inlineStr">
        <is>
          <t>Engineering</t>
        </is>
      </c>
      <c r="G414" s="28" t="inlineStr">
        <is>
          <t>Owner (Asanko)</t>
        </is>
      </c>
      <c r="H414" s="34" t="n">
        <v>2030</v>
      </c>
      <c r="I414" s="35" t="n">
        <v>0</v>
      </c>
      <c r="J414" s="35" t="n">
        <v>1</v>
      </c>
      <c r="K414" s="35" t="n">
        <v>4</v>
      </c>
      <c r="L414" s="35" t="n">
        <v>3</v>
      </c>
      <c r="M414" s="35" t="n">
        <v>2</v>
      </c>
      <c r="N414" s="35" t="n">
        <v>2</v>
      </c>
      <c r="O414" s="36" t="n">
        <v>0.96</v>
      </c>
      <c r="P414" s="35" t="n">
        <v>1</v>
      </c>
      <c r="Q414" s="35" t="n">
        <v>1</v>
      </c>
      <c r="R414" s="35" t="n">
        <v>3</v>
      </c>
      <c r="S414" s="35" t="n">
        <v>3</v>
      </c>
      <c r="T414" s="37" t="n">
        <v>0.894</v>
      </c>
      <c r="U414" s="38">
        <f>IFERROR([@InspDone]/[@InspPlanned],0)</f>
        <v/>
      </c>
      <c r="V414" s="38">
        <f>IFERROR([@ObsClosed]/[@ObsRaised],0)</f>
        <v/>
      </c>
    </row>
    <row r="415">
      <c r="A415" s="33" t="n">
        <v>46113</v>
      </c>
      <c r="B415" s="28">
        <f>YEAR([@Period])</f>
        <v/>
      </c>
      <c r="C415" s="28">
        <f>TEXT([@Period],"mmm")</f>
        <v/>
      </c>
      <c r="D415" s="30">
        <f>MONTH([@Period])</f>
        <v/>
      </c>
      <c r="E415" s="28" t="inlineStr">
        <is>
          <t>Power Station</t>
        </is>
      </c>
      <c r="F415" s="28" t="inlineStr">
        <is>
          <t>Engineering</t>
        </is>
      </c>
      <c r="G415" s="28" t="inlineStr">
        <is>
          <t>Genser (Power)</t>
        </is>
      </c>
      <c r="H415" s="34" t="n">
        <v>4136</v>
      </c>
      <c r="I415" s="35" t="n">
        <v>0</v>
      </c>
      <c r="J415" s="35" t="n">
        <v>0</v>
      </c>
      <c r="K415" s="35" t="n">
        <v>0</v>
      </c>
      <c r="L415" s="35" t="n">
        <v>0</v>
      </c>
      <c r="M415" s="35" t="n">
        <v>2</v>
      </c>
      <c r="N415" s="35" t="n">
        <v>2</v>
      </c>
      <c r="O415" s="36" t="n">
        <v>0.9399999999999999</v>
      </c>
      <c r="P415" s="35" t="n">
        <v>1</v>
      </c>
      <c r="Q415" s="35" t="n">
        <v>2</v>
      </c>
      <c r="R415" s="35" t="n">
        <v>3</v>
      </c>
      <c r="S415" s="35" t="n">
        <v>3</v>
      </c>
      <c r="T415" s="37" t="n">
        <v>0.955</v>
      </c>
      <c r="U415" s="38">
        <f>IFERROR([@InspDone]/[@InspPlanned],0)</f>
        <v/>
      </c>
      <c r="V415" s="38">
        <f>IFERROR([@ObsClosed]/[@ObsRaised],0)</f>
        <v/>
      </c>
    </row>
    <row r="416">
      <c r="A416" s="33" t="n">
        <v>46113</v>
      </c>
      <c r="B416" s="28">
        <f>YEAR([@Period])</f>
        <v/>
      </c>
      <c r="C416" s="28">
        <f>TEXT([@Period],"mmm")</f>
        <v/>
      </c>
      <c r="D416" s="30">
        <f>MONTH([@Period])</f>
        <v/>
      </c>
      <c r="E416" s="28" t="inlineStr">
        <is>
          <t>Warehouse &amp; Stores</t>
        </is>
      </c>
      <c r="F416" s="28" t="inlineStr">
        <is>
          <t>Logistics</t>
        </is>
      </c>
      <c r="G416" s="28" t="inlineStr">
        <is>
          <t>Owner (Asanko)</t>
        </is>
      </c>
      <c r="H416" s="34" t="n">
        <v>5304</v>
      </c>
      <c r="I416" s="35" t="n">
        <v>1</v>
      </c>
      <c r="J416" s="35" t="n">
        <v>1</v>
      </c>
      <c r="K416" s="35" t="n">
        <v>1</v>
      </c>
      <c r="L416" s="35" t="n">
        <v>1</v>
      </c>
      <c r="M416" s="35" t="n">
        <v>2</v>
      </c>
      <c r="N416" s="35" t="n">
        <v>2</v>
      </c>
      <c r="O416" s="36" t="n">
        <v>0.963</v>
      </c>
      <c r="P416" s="35" t="n">
        <v>1</v>
      </c>
      <c r="Q416" s="35" t="n">
        <v>0</v>
      </c>
      <c r="R416" s="35" t="n">
        <v>4</v>
      </c>
      <c r="S416" s="35" t="n">
        <v>4</v>
      </c>
      <c r="T416" s="37" t="n">
        <v>0.897</v>
      </c>
      <c r="U416" s="38">
        <f>IFERROR([@InspDone]/[@InspPlanned],0)</f>
        <v/>
      </c>
      <c r="V416" s="38">
        <f>IFERROR([@ObsClosed]/[@ObsRaised],0)</f>
        <v/>
      </c>
    </row>
    <row r="417">
      <c r="A417" s="33" t="n">
        <v>46113</v>
      </c>
      <c r="B417" s="28">
        <f>YEAR([@Period])</f>
        <v/>
      </c>
      <c r="C417" s="28">
        <f>TEXT([@Period],"mmm")</f>
        <v/>
      </c>
      <c r="D417" s="30">
        <f>MONTH([@Period])</f>
        <v/>
      </c>
      <c r="E417" s="28" t="inlineStr">
        <is>
          <t>Administration</t>
        </is>
      </c>
      <c r="F417" s="28" t="inlineStr">
        <is>
          <t>Administration</t>
        </is>
      </c>
      <c r="G417" s="28" t="inlineStr">
        <is>
          <t>Owner (Asanko)</t>
        </is>
      </c>
      <c r="H417" s="34" t="n">
        <v>11220</v>
      </c>
      <c r="I417" s="35" t="n">
        <v>1</v>
      </c>
      <c r="J417" s="35" t="n">
        <v>1</v>
      </c>
      <c r="K417" s="35" t="n">
        <v>7</v>
      </c>
      <c r="L417" s="35" t="n">
        <v>6</v>
      </c>
      <c r="M417" s="35" t="n">
        <v>3</v>
      </c>
      <c r="N417" s="35" t="n">
        <v>3</v>
      </c>
      <c r="O417" s="36" t="n">
        <v>0.985</v>
      </c>
      <c r="P417" s="35" t="n">
        <v>1</v>
      </c>
      <c r="Q417" s="35" t="n">
        <v>7</v>
      </c>
      <c r="R417" s="35" t="n">
        <v>10</v>
      </c>
      <c r="S417" s="35" t="n">
        <v>9</v>
      </c>
      <c r="T417" s="37" t="n">
        <v>0.963</v>
      </c>
      <c r="U417" s="38">
        <f>IFERROR([@InspDone]/[@InspPlanned],0)</f>
        <v/>
      </c>
      <c r="V417" s="38">
        <f>IFERROR([@ObsClosed]/[@ObsRaised],0)</f>
        <v/>
      </c>
    </row>
    <row r="418">
      <c r="A418" s="33" t="n">
        <v>46113</v>
      </c>
      <c r="B418" s="28">
        <f>YEAR([@Period])</f>
        <v/>
      </c>
      <c r="C418" s="28">
        <f>TEXT([@Period],"mmm")</f>
        <v/>
      </c>
      <c r="D418" s="30">
        <f>MONTH([@Period])</f>
        <v/>
      </c>
      <c r="E418" s="28" t="inlineStr">
        <is>
          <t>Accommodation Camp</t>
        </is>
      </c>
      <c r="F418" s="28" t="inlineStr">
        <is>
          <t>Administration</t>
        </is>
      </c>
      <c r="G418" s="28" t="inlineStr">
        <is>
          <t>Catering Co (Camp)</t>
        </is>
      </c>
      <c r="H418" s="34" t="n">
        <v>6870</v>
      </c>
      <c r="I418" s="35" t="n">
        <v>0</v>
      </c>
      <c r="J418" s="35" t="n">
        <v>2</v>
      </c>
      <c r="K418" s="35" t="n">
        <v>5</v>
      </c>
      <c r="L418" s="35" t="n">
        <v>4</v>
      </c>
      <c r="M418" s="35" t="n">
        <v>2</v>
      </c>
      <c r="N418" s="35" t="n">
        <v>2</v>
      </c>
      <c r="O418" s="36" t="n">
        <v>0.881</v>
      </c>
      <c r="P418" s="35" t="n">
        <v>0</v>
      </c>
      <c r="Q418" s="35" t="n">
        <v>1</v>
      </c>
      <c r="R418" s="35" t="n">
        <v>5</v>
      </c>
      <c r="S418" s="35" t="n">
        <v>5</v>
      </c>
      <c r="T418" s="37" t="n">
        <v>0.9</v>
      </c>
      <c r="U418" s="38">
        <f>IFERROR([@InspDone]/[@InspPlanned],0)</f>
        <v/>
      </c>
      <c r="V418" s="38">
        <f>IFERROR([@ObsClosed]/[@ObsRaised],0)</f>
        <v/>
      </c>
    </row>
    <row r="419">
      <c r="A419" s="33" t="n">
        <v>46113</v>
      </c>
      <c r="B419" s="28">
        <f>YEAR([@Period])</f>
        <v/>
      </c>
      <c r="C419" s="28">
        <f>TEXT([@Period],"mmm")</f>
        <v/>
      </c>
      <c r="D419" s="30">
        <f>MONTH([@Period])</f>
        <v/>
      </c>
      <c r="E419" s="28" t="inlineStr">
        <is>
          <t>Security Gatehouse</t>
        </is>
      </c>
      <c r="F419" s="28" t="inlineStr">
        <is>
          <t>Security</t>
        </is>
      </c>
      <c r="G419" s="28" t="inlineStr">
        <is>
          <t>G4S (Security)</t>
        </is>
      </c>
      <c r="H419" s="34" t="n">
        <v>9765</v>
      </c>
      <c r="I419" s="35" t="n">
        <v>4</v>
      </c>
      <c r="J419" s="35" t="n">
        <v>3</v>
      </c>
      <c r="K419" s="35" t="n">
        <v>4</v>
      </c>
      <c r="L419" s="35" t="n">
        <v>4</v>
      </c>
      <c r="M419" s="35" t="n">
        <v>2</v>
      </c>
      <c r="N419" s="35" t="n">
        <v>2</v>
      </c>
      <c r="O419" s="36" t="n">
        <v>0.95</v>
      </c>
      <c r="P419" s="35" t="n">
        <v>1</v>
      </c>
      <c r="Q419" s="35" t="n">
        <v>4</v>
      </c>
      <c r="R419" s="35" t="n">
        <v>7</v>
      </c>
      <c r="S419" s="35" t="n">
        <v>7</v>
      </c>
      <c r="T419" s="37" t="n">
        <v>0.9399999999999999</v>
      </c>
      <c r="U419" s="38">
        <f>IFERROR([@InspDone]/[@InspPlanned],0)</f>
        <v/>
      </c>
      <c r="V419" s="38">
        <f>IFERROR([@ObsClosed]/[@ObsRaised],0)</f>
        <v/>
      </c>
    </row>
    <row r="420">
      <c r="A420" s="33" t="n">
        <v>46143</v>
      </c>
      <c r="B420" s="28">
        <f>YEAR([@Period])</f>
        <v/>
      </c>
      <c r="C420" s="28">
        <f>TEXT([@Period],"mmm")</f>
        <v/>
      </c>
      <c r="D420" s="30">
        <f>MONTH([@Period])</f>
        <v/>
      </c>
      <c r="E420" s="28" t="inlineStr">
        <is>
          <t>Nkran Open Pit</t>
        </is>
      </c>
      <c r="F420" s="28" t="inlineStr">
        <is>
          <t>Mining</t>
        </is>
      </c>
      <c r="G420" s="28" t="inlineStr">
        <is>
          <t>AUMS (Mining Contractor)</t>
        </is>
      </c>
      <c r="H420" s="34" t="n">
        <v>24600</v>
      </c>
      <c r="I420" s="35" t="n">
        <v>6</v>
      </c>
      <c r="J420" s="35" t="n">
        <v>3</v>
      </c>
      <c r="K420" s="35" t="n">
        <v>16</v>
      </c>
      <c r="L420" s="35" t="n">
        <v>13</v>
      </c>
      <c r="M420" s="35" t="n">
        <v>6</v>
      </c>
      <c r="N420" s="35" t="n">
        <v>6</v>
      </c>
      <c r="O420" s="36" t="n">
        <v>0.91</v>
      </c>
      <c r="P420" s="35" t="n">
        <v>0</v>
      </c>
      <c r="Q420" s="35" t="n">
        <v>16</v>
      </c>
      <c r="R420" s="35" t="n">
        <v>20</v>
      </c>
      <c r="S420" s="35" t="n">
        <v>19</v>
      </c>
      <c r="T420" s="37" t="n">
        <v>0.996</v>
      </c>
      <c r="U420" s="38">
        <f>IFERROR([@InspDone]/[@InspPlanned],0)</f>
        <v/>
      </c>
      <c r="V420" s="38">
        <f>IFERROR([@ObsClosed]/[@ObsRaised],0)</f>
        <v/>
      </c>
    </row>
    <row r="421">
      <c r="A421" s="33" t="n">
        <v>46143</v>
      </c>
      <c r="B421" s="28">
        <f>YEAR([@Period])</f>
        <v/>
      </c>
      <c r="C421" s="28">
        <f>TEXT([@Period],"mmm")</f>
        <v/>
      </c>
      <c r="D421" s="30">
        <f>MONTH([@Period])</f>
        <v/>
      </c>
      <c r="E421" s="28" t="inlineStr">
        <is>
          <t>Esaase Open Pit</t>
        </is>
      </c>
      <c r="F421" s="28" t="inlineStr">
        <is>
          <t>Mining</t>
        </is>
      </c>
      <c r="G421" s="28" t="inlineStr">
        <is>
          <t>AUMS (Mining Contractor)</t>
        </is>
      </c>
      <c r="H421" s="34" t="n">
        <v>24970</v>
      </c>
      <c r="I421" s="35" t="n">
        <v>7</v>
      </c>
      <c r="J421" s="35" t="n">
        <v>5</v>
      </c>
      <c r="K421" s="35" t="n">
        <v>6</v>
      </c>
      <c r="L421" s="35" t="n">
        <v>5</v>
      </c>
      <c r="M421" s="35" t="n">
        <v>6</v>
      </c>
      <c r="N421" s="35" t="n">
        <v>6</v>
      </c>
      <c r="O421" s="36" t="n">
        <v>0.901</v>
      </c>
      <c r="P421" s="35" t="n">
        <v>1</v>
      </c>
      <c r="Q421" s="35" t="n">
        <v>13</v>
      </c>
      <c r="R421" s="35" t="n">
        <v>18</v>
      </c>
      <c r="S421" s="35" t="n">
        <v>17</v>
      </c>
      <c r="T421" s="37" t="n">
        <v>0.926</v>
      </c>
      <c r="U421" s="38">
        <f>IFERROR([@InspDone]/[@InspPlanned],0)</f>
        <v/>
      </c>
      <c r="V421" s="38">
        <f>IFERROR([@ObsClosed]/[@ObsRaised],0)</f>
        <v/>
      </c>
    </row>
    <row r="422">
      <c r="A422" s="33" t="n">
        <v>46143</v>
      </c>
      <c r="B422" s="28">
        <f>YEAR([@Period])</f>
        <v/>
      </c>
      <c r="C422" s="28">
        <f>TEXT([@Period],"mmm")</f>
        <v/>
      </c>
      <c r="D422" s="30">
        <f>MONTH([@Period])</f>
        <v/>
      </c>
      <c r="E422" s="28" t="inlineStr">
        <is>
          <t>Drill &amp; Blast</t>
        </is>
      </c>
      <c r="F422" s="28" t="inlineStr">
        <is>
          <t>Mining</t>
        </is>
      </c>
      <c r="G422" s="28" t="inlineStr">
        <is>
          <t>Maxam (Blasting)</t>
        </is>
      </c>
      <c r="H422" s="34" t="n">
        <v>8880</v>
      </c>
      <c r="I422" s="35" t="n">
        <v>1</v>
      </c>
      <c r="J422" s="35" t="n">
        <v>0</v>
      </c>
      <c r="K422" s="35" t="n">
        <v>1</v>
      </c>
      <c r="L422" s="35" t="n">
        <v>1</v>
      </c>
      <c r="M422" s="35" t="n">
        <v>2</v>
      </c>
      <c r="N422" s="35" t="n">
        <v>2</v>
      </c>
      <c r="O422" s="36" t="n">
        <v>0.915</v>
      </c>
      <c r="P422" s="35" t="n">
        <v>0</v>
      </c>
      <c r="Q422" s="35" t="n">
        <v>6</v>
      </c>
      <c r="R422" s="35" t="n">
        <v>6</v>
      </c>
      <c r="S422" s="35" t="n">
        <v>6</v>
      </c>
      <c r="T422" s="37" t="n">
        <v>0.976</v>
      </c>
      <c r="U422" s="38">
        <f>IFERROR([@InspDone]/[@InspPlanned],0)</f>
        <v/>
      </c>
      <c r="V422" s="38">
        <f>IFERROR([@ObsClosed]/[@ObsRaised],0)</f>
        <v/>
      </c>
    </row>
    <row r="423">
      <c r="A423" s="33" t="n">
        <v>46143</v>
      </c>
      <c r="B423" s="28">
        <f>YEAR([@Period])</f>
        <v/>
      </c>
      <c r="C423" s="28">
        <f>TEXT([@Period],"mmm")</f>
        <v/>
      </c>
      <c r="D423" s="30">
        <f>MONTH([@Period])</f>
        <v/>
      </c>
      <c r="E423" s="28" t="inlineStr">
        <is>
          <t>Haul Roads</t>
        </is>
      </c>
      <c r="F423" s="28" t="inlineStr">
        <is>
          <t>Mining</t>
        </is>
      </c>
      <c r="G423" s="28" t="inlineStr">
        <is>
          <t>AUMS (Mining Contractor)</t>
        </is>
      </c>
      <c r="H423" s="34" t="n">
        <v>12780</v>
      </c>
      <c r="I423" s="35" t="n">
        <v>2</v>
      </c>
      <c r="J423" s="35" t="n">
        <v>1</v>
      </c>
      <c r="K423" s="35" t="n">
        <v>7</v>
      </c>
      <c r="L423" s="35" t="n">
        <v>6</v>
      </c>
      <c r="M423" s="35" t="n">
        <v>3</v>
      </c>
      <c r="N423" s="35" t="n">
        <v>3</v>
      </c>
      <c r="O423" s="36" t="n">
        <v>0.914</v>
      </c>
      <c r="P423" s="35" t="n">
        <v>0</v>
      </c>
      <c r="Q423" s="35" t="n">
        <v>5</v>
      </c>
      <c r="R423" s="35" t="n">
        <v>10</v>
      </c>
      <c r="S423" s="35" t="n">
        <v>9</v>
      </c>
      <c r="T423" s="37" t="n">
        <v>0.955</v>
      </c>
      <c r="U423" s="38">
        <f>IFERROR([@InspDone]/[@InspPlanned],0)</f>
        <v/>
      </c>
      <c r="V423" s="38">
        <f>IFERROR([@ObsClosed]/[@ObsRaised],0)</f>
        <v/>
      </c>
    </row>
    <row r="424">
      <c r="A424" s="33" t="n">
        <v>46143</v>
      </c>
      <c r="B424" s="28">
        <f>YEAR([@Period])</f>
        <v/>
      </c>
      <c r="C424" s="28">
        <f>TEXT([@Period],"mmm")</f>
        <v/>
      </c>
      <c r="D424" s="30">
        <f>MONTH([@Period])</f>
        <v/>
      </c>
      <c r="E424" s="28" t="inlineStr">
        <is>
          <t>Explosives Magazine</t>
        </is>
      </c>
      <c r="F424" s="28" t="inlineStr">
        <is>
          <t>Mining</t>
        </is>
      </c>
      <c r="G424" s="28" t="inlineStr">
        <is>
          <t>Maxam (Blasting)</t>
        </is>
      </c>
      <c r="H424" s="34" t="n">
        <v>2895</v>
      </c>
      <c r="I424" s="35" t="n">
        <v>1</v>
      </c>
      <c r="J424" s="35" t="n">
        <v>2</v>
      </c>
      <c r="K424" s="35" t="n">
        <v>4</v>
      </c>
      <c r="L424" s="35" t="n">
        <v>4</v>
      </c>
      <c r="M424" s="35" t="n">
        <v>2</v>
      </c>
      <c r="N424" s="35" t="n">
        <v>2</v>
      </c>
      <c r="O424" s="36" t="n">
        <v>0.917</v>
      </c>
      <c r="P424" s="35" t="n">
        <v>1</v>
      </c>
      <c r="Q424" s="35" t="n">
        <v>0</v>
      </c>
      <c r="R424" s="35" t="n">
        <v>3</v>
      </c>
      <c r="S424" s="35" t="n">
        <v>3</v>
      </c>
      <c r="T424" s="37" t="n">
        <v>0.9330000000000001</v>
      </c>
      <c r="U424" s="38">
        <f>IFERROR([@InspDone]/[@InspPlanned],0)</f>
        <v/>
      </c>
      <c r="V424" s="38">
        <f>IFERROR([@ObsClosed]/[@ObsRaised],0)</f>
        <v/>
      </c>
    </row>
    <row r="425">
      <c r="A425" s="33" t="n">
        <v>46143</v>
      </c>
      <c r="B425" s="28">
        <f>YEAR([@Period])</f>
        <v/>
      </c>
      <c r="C425" s="28">
        <f>TEXT([@Period],"mmm")</f>
        <v/>
      </c>
      <c r="D425" s="30">
        <f>MONTH([@Period])</f>
        <v/>
      </c>
      <c r="E425" s="28" t="inlineStr">
        <is>
          <t>Crushing Circuit</t>
        </is>
      </c>
      <c r="F425" s="28" t="inlineStr">
        <is>
          <t>Processing</t>
        </is>
      </c>
      <c r="G425" s="28" t="inlineStr">
        <is>
          <t>Owner (Asanko)</t>
        </is>
      </c>
      <c r="H425" s="34" t="n">
        <v>7980</v>
      </c>
      <c r="I425" s="35" t="n">
        <v>1</v>
      </c>
      <c r="J425" s="35" t="n">
        <v>0</v>
      </c>
      <c r="K425" s="35" t="n">
        <v>1</v>
      </c>
      <c r="L425" s="35" t="n">
        <v>1</v>
      </c>
      <c r="M425" s="35" t="n">
        <v>2</v>
      </c>
      <c r="N425" s="35" t="n">
        <v>2</v>
      </c>
      <c r="O425" s="36" t="n">
        <v>0.9320000000000001</v>
      </c>
      <c r="P425" s="35" t="n">
        <v>1</v>
      </c>
      <c r="Q425" s="35" t="n">
        <v>4</v>
      </c>
      <c r="R425" s="35" t="n">
        <v>5</v>
      </c>
      <c r="S425" s="35" t="n">
        <v>5</v>
      </c>
      <c r="T425" s="37" t="n">
        <v>0.969</v>
      </c>
      <c r="U425" s="38">
        <f>IFERROR([@InspDone]/[@InspPlanned],0)</f>
        <v/>
      </c>
      <c r="V425" s="38">
        <f>IFERROR([@ObsClosed]/[@ObsRaised],0)</f>
        <v/>
      </c>
    </row>
    <row r="426">
      <c r="A426" s="33" t="n">
        <v>46143</v>
      </c>
      <c r="B426" s="28">
        <f>YEAR([@Period])</f>
        <v/>
      </c>
      <c r="C426" s="28">
        <f>TEXT([@Period],"mmm")</f>
        <v/>
      </c>
      <c r="D426" s="30">
        <f>MONTH([@Period])</f>
        <v/>
      </c>
      <c r="E426" s="28" t="inlineStr">
        <is>
          <t>Processing Plant (CIL)</t>
        </is>
      </c>
      <c r="F426" s="28" t="inlineStr">
        <is>
          <t>Processing</t>
        </is>
      </c>
      <c r="G426" s="28" t="inlineStr">
        <is>
          <t>Owner (Asanko)</t>
        </is>
      </c>
      <c r="H426" s="34" t="n">
        <v>16560</v>
      </c>
      <c r="I426" s="35" t="n">
        <v>3</v>
      </c>
      <c r="J426" s="35" t="n">
        <v>4</v>
      </c>
      <c r="K426" s="35" t="n">
        <v>8</v>
      </c>
      <c r="L426" s="35" t="n">
        <v>6</v>
      </c>
      <c r="M426" s="35" t="n">
        <v>5</v>
      </c>
      <c r="N426" s="35" t="n">
        <v>4</v>
      </c>
      <c r="O426" s="36" t="n">
        <v>0.885</v>
      </c>
      <c r="P426" s="35" t="n">
        <v>1</v>
      </c>
      <c r="Q426" s="35" t="n">
        <v>4</v>
      </c>
      <c r="R426" s="35" t="n">
        <v>15</v>
      </c>
      <c r="S426" s="35" t="n">
        <v>14</v>
      </c>
      <c r="T426" s="37" t="n">
        <v>0.886</v>
      </c>
      <c r="U426" s="38">
        <f>IFERROR([@InspDone]/[@InspPlanned],0)</f>
        <v/>
      </c>
      <c r="V426" s="38">
        <f>IFERROR([@ObsClosed]/[@ObsRaised],0)</f>
        <v/>
      </c>
    </row>
    <row r="427">
      <c r="A427" s="33" t="n">
        <v>46143</v>
      </c>
      <c r="B427" s="28">
        <f>YEAR([@Period])</f>
        <v/>
      </c>
      <c r="C427" s="28">
        <f>TEXT([@Period],"mmm")</f>
        <v/>
      </c>
      <c r="D427" s="30">
        <f>MONTH([@Period])</f>
        <v/>
      </c>
      <c r="E427" s="28" t="inlineStr">
        <is>
          <t>Elution &amp; Gold Room</t>
        </is>
      </c>
      <c r="F427" s="28" t="inlineStr">
        <is>
          <t>Processing</t>
        </is>
      </c>
      <c r="G427" s="28" t="inlineStr">
        <is>
          <t>Owner (Asanko)</t>
        </is>
      </c>
      <c r="H427" s="34" t="n">
        <v>4140</v>
      </c>
      <c r="I427" s="35" t="n">
        <v>2</v>
      </c>
      <c r="J427" s="35" t="n">
        <v>2</v>
      </c>
      <c r="K427" s="35" t="n">
        <v>2</v>
      </c>
      <c r="L427" s="35" t="n">
        <v>2</v>
      </c>
      <c r="M427" s="35" t="n">
        <v>2</v>
      </c>
      <c r="N427" s="35" t="n">
        <v>2</v>
      </c>
      <c r="O427" s="36" t="n">
        <v>0.886</v>
      </c>
      <c r="P427" s="35" t="n">
        <v>1</v>
      </c>
      <c r="Q427" s="35" t="n">
        <v>2</v>
      </c>
      <c r="R427" s="35" t="n">
        <v>3</v>
      </c>
      <c r="S427" s="35" t="n">
        <v>3</v>
      </c>
      <c r="T427" s="37" t="n">
        <v>0.928</v>
      </c>
      <c r="U427" s="38">
        <f>IFERROR([@InspDone]/[@InspPlanned],0)</f>
        <v/>
      </c>
      <c r="V427" s="38">
        <f>IFERROR([@ObsClosed]/[@ObsRaised],0)</f>
        <v/>
      </c>
    </row>
    <row r="428">
      <c r="A428" s="33" t="n">
        <v>46143</v>
      </c>
      <c r="B428" s="28">
        <f>YEAR([@Period])</f>
        <v/>
      </c>
      <c r="C428" s="28">
        <f>TEXT([@Period],"mmm")</f>
        <v/>
      </c>
      <c r="D428" s="30">
        <f>MONTH([@Period])</f>
        <v/>
      </c>
      <c r="E428" s="28" t="inlineStr">
        <is>
          <t>Tailings Storage Facility</t>
        </is>
      </c>
      <c r="F428" s="28" t="inlineStr">
        <is>
          <t>Environment</t>
        </is>
      </c>
      <c r="G428" s="28" t="inlineStr">
        <is>
          <t>Owner (Asanko)</t>
        </is>
      </c>
      <c r="H428" s="34" t="n">
        <v>3312</v>
      </c>
      <c r="I428" s="35" t="n">
        <v>3</v>
      </c>
      <c r="J428" s="35" t="n">
        <v>1</v>
      </c>
      <c r="K428" s="35" t="n">
        <v>3</v>
      </c>
      <c r="L428" s="35" t="n">
        <v>3</v>
      </c>
      <c r="M428" s="35" t="n">
        <v>2</v>
      </c>
      <c r="N428" s="35" t="n">
        <v>2</v>
      </c>
      <c r="O428" s="36" t="n">
        <v>0.962</v>
      </c>
      <c r="P428" s="35" t="n">
        <v>1</v>
      </c>
      <c r="Q428" s="35" t="n">
        <v>2</v>
      </c>
      <c r="R428" s="35" t="n">
        <v>3</v>
      </c>
      <c r="S428" s="35" t="n">
        <v>3</v>
      </c>
      <c r="T428" s="37" t="n">
        <v>0.9370000000000001</v>
      </c>
      <c r="U428" s="38">
        <f>IFERROR([@InspDone]/[@InspPlanned],0)</f>
        <v/>
      </c>
      <c r="V428" s="38">
        <f>IFERROR([@ObsClosed]/[@ObsRaised],0)</f>
        <v/>
      </c>
    </row>
    <row r="429">
      <c r="A429" s="33" t="n">
        <v>46143</v>
      </c>
      <c r="B429" s="28">
        <f>YEAR([@Period])</f>
        <v/>
      </c>
      <c r="C429" s="28">
        <f>TEXT([@Period],"mmm")</f>
        <v/>
      </c>
      <c r="D429" s="30">
        <f>MONTH([@Period])</f>
        <v/>
      </c>
      <c r="E429" s="28" t="inlineStr">
        <is>
          <t>Water Treatment</t>
        </is>
      </c>
      <c r="F429" s="28" t="inlineStr">
        <is>
          <t>Environment</t>
        </is>
      </c>
      <c r="G429" s="28" t="inlineStr">
        <is>
          <t>Owner (Asanko)</t>
        </is>
      </c>
      <c r="H429" s="34" t="n">
        <v>2196</v>
      </c>
      <c r="I429" s="35" t="n">
        <v>2</v>
      </c>
      <c r="J429" s="35" t="n">
        <v>0</v>
      </c>
      <c r="K429" s="35" t="n">
        <v>1</v>
      </c>
      <c r="L429" s="35" t="n">
        <v>1</v>
      </c>
      <c r="M429" s="35" t="n">
        <v>2</v>
      </c>
      <c r="N429" s="35" t="n">
        <v>2</v>
      </c>
      <c r="O429" s="36" t="n">
        <v>0.925</v>
      </c>
      <c r="P429" s="35" t="n">
        <v>1</v>
      </c>
      <c r="Q429" s="35" t="n">
        <v>1</v>
      </c>
      <c r="R429" s="35" t="n">
        <v>3</v>
      </c>
      <c r="S429" s="35" t="n">
        <v>3</v>
      </c>
      <c r="T429" s="37" t="n">
        <v>0.964</v>
      </c>
      <c r="U429" s="38">
        <f>IFERROR([@InspDone]/[@InspPlanned],0)</f>
        <v/>
      </c>
      <c r="V429" s="38">
        <f>IFERROR([@ObsClosed]/[@ObsRaised],0)</f>
        <v/>
      </c>
    </row>
    <row r="430">
      <c r="A430" s="33" t="n">
        <v>46143</v>
      </c>
      <c r="B430" s="28">
        <f>YEAR([@Period])</f>
        <v/>
      </c>
      <c r="C430" s="28">
        <f>TEXT([@Period],"mmm")</f>
        <v/>
      </c>
      <c r="D430" s="30">
        <f>MONTH([@Period])</f>
        <v/>
      </c>
      <c r="E430" s="28" t="inlineStr">
        <is>
          <t>Assay Laboratory</t>
        </is>
      </c>
      <c r="F430" s="28" t="inlineStr">
        <is>
          <t>Laboratory</t>
        </is>
      </c>
      <c r="G430" s="28" t="inlineStr">
        <is>
          <t>SGS (Laboratory)</t>
        </is>
      </c>
      <c r="H430" s="34" t="n">
        <v>5250</v>
      </c>
      <c r="I430" s="35" t="n">
        <v>0</v>
      </c>
      <c r="J430" s="35" t="n">
        <v>0</v>
      </c>
      <c r="K430" s="35" t="n">
        <v>0</v>
      </c>
      <c r="L430" s="35" t="n">
        <v>0</v>
      </c>
      <c r="M430" s="35" t="n">
        <v>2</v>
      </c>
      <c r="N430" s="35" t="n">
        <v>2</v>
      </c>
      <c r="O430" s="36" t="n">
        <v>0.9399999999999999</v>
      </c>
      <c r="P430" s="35" t="n">
        <v>0</v>
      </c>
      <c r="Q430" s="35" t="n">
        <v>1</v>
      </c>
      <c r="R430" s="35" t="n">
        <v>4</v>
      </c>
      <c r="S430" s="35" t="n">
        <v>4</v>
      </c>
      <c r="T430" s="37" t="n">
        <v>0.887</v>
      </c>
      <c r="U430" s="38">
        <f>IFERROR([@InspDone]/[@InspPlanned],0)</f>
        <v/>
      </c>
      <c r="V430" s="38">
        <f>IFERROR([@ObsClosed]/[@ObsRaised],0)</f>
        <v/>
      </c>
    </row>
    <row r="431">
      <c r="A431" s="33" t="n">
        <v>46143</v>
      </c>
      <c r="B431" s="28">
        <f>YEAR([@Period])</f>
        <v/>
      </c>
      <c r="C431" s="28">
        <f>TEXT([@Period],"mmm")</f>
        <v/>
      </c>
      <c r="D431" s="30">
        <f>MONTH([@Period])</f>
        <v/>
      </c>
      <c r="E431" s="28" t="inlineStr">
        <is>
          <t>HME Workshop</t>
        </is>
      </c>
      <c r="F431" s="28" t="inlineStr">
        <is>
          <t>Engineering</t>
        </is>
      </c>
      <c r="G431" s="28" t="inlineStr">
        <is>
          <t>Owner (Asanko)</t>
        </is>
      </c>
      <c r="H431" s="34" t="n">
        <v>11055</v>
      </c>
      <c r="I431" s="35" t="n">
        <v>0</v>
      </c>
      <c r="J431" s="35" t="n">
        <v>1</v>
      </c>
      <c r="K431" s="35" t="n">
        <v>3</v>
      </c>
      <c r="L431" s="35" t="n">
        <v>3</v>
      </c>
      <c r="M431" s="35" t="n">
        <v>3</v>
      </c>
      <c r="N431" s="35" t="n">
        <v>3</v>
      </c>
      <c r="O431" s="36" t="n">
        <v>0.909</v>
      </c>
      <c r="P431" s="35" t="n">
        <v>1</v>
      </c>
      <c r="Q431" s="35" t="n">
        <v>5</v>
      </c>
      <c r="R431" s="35" t="n">
        <v>9</v>
      </c>
      <c r="S431" s="35" t="n">
        <v>8</v>
      </c>
      <c r="T431" s="37" t="n">
        <v>0.895</v>
      </c>
      <c r="U431" s="38">
        <f>IFERROR([@InspDone]/[@InspPlanned],0)</f>
        <v/>
      </c>
      <c r="V431" s="38">
        <f>IFERROR([@ObsClosed]/[@ObsRaised],0)</f>
        <v/>
      </c>
    </row>
    <row r="432">
      <c r="A432" s="33" t="n">
        <v>46143</v>
      </c>
      <c r="B432" s="28">
        <f>YEAR([@Period])</f>
        <v/>
      </c>
      <c r="C432" s="28">
        <f>TEXT([@Period],"mmm")</f>
        <v/>
      </c>
      <c r="D432" s="30">
        <f>MONTH([@Period])</f>
        <v/>
      </c>
      <c r="E432" s="28" t="inlineStr">
        <is>
          <t>Fuel Farm</t>
        </is>
      </c>
      <c r="F432" s="28" t="inlineStr">
        <is>
          <t>Engineering</t>
        </is>
      </c>
      <c r="G432" s="28" t="inlineStr">
        <is>
          <t>Owner (Asanko)</t>
        </is>
      </c>
      <c r="H432" s="34" t="n">
        <v>2270</v>
      </c>
      <c r="I432" s="35" t="n">
        <v>0</v>
      </c>
      <c r="J432" s="35" t="n">
        <v>0</v>
      </c>
      <c r="K432" s="35" t="n">
        <v>3</v>
      </c>
      <c r="L432" s="35" t="n">
        <v>3</v>
      </c>
      <c r="M432" s="35" t="n">
        <v>2</v>
      </c>
      <c r="N432" s="35" t="n">
        <v>2</v>
      </c>
      <c r="O432" s="36" t="n">
        <v>0.9379999999999999</v>
      </c>
      <c r="P432" s="35" t="n">
        <v>1</v>
      </c>
      <c r="Q432" s="35" t="n">
        <v>0</v>
      </c>
      <c r="R432" s="35" t="n">
        <v>3</v>
      </c>
      <c r="S432" s="35" t="n">
        <v>3</v>
      </c>
      <c r="T432" s="37" t="n">
        <v>0.945</v>
      </c>
      <c r="U432" s="38">
        <f>IFERROR([@InspDone]/[@InspPlanned],0)</f>
        <v/>
      </c>
      <c r="V432" s="38">
        <f>IFERROR([@ObsClosed]/[@ObsRaised],0)</f>
        <v/>
      </c>
    </row>
    <row r="433">
      <c r="A433" s="33" t="n">
        <v>46143</v>
      </c>
      <c r="B433" s="28">
        <f>YEAR([@Period])</f>
        <v/>
      </c>
      <c r="C433" s="28">
        <f>TEXT([@Period],"mmm")</f>
        <v/>
      </c>
      <c r="D433" s="30">
        <f>MONTH([@Period])</f>
        <v/>
      </c>
      <c r="E433" s="28" t="inlineStr">
        <is>
          <t>Power Station</t>
        </is>
      </c>
      <c r="F433" s="28" t="inlineStr">
        <is>
          <t>Engineering</t>
        </is>
      </c>
      <c r="G433" s="28" t="inlineStr">
        <is>
          <t>Genser (Power)</t>
        </is>
      </c>
      <c r="H433" s="34" t="n">
        <v>4972</v>
      </c>
      <c r="I433" s="35" t="n">
        <v>2</v>
      </c>
      <c r="J433" s="35" t="n">
        <v>1</v>
      </c>
      <c r="K433" s="35" t="n">
        <v>2</v>
      </c>
      <c r="L433" s="35" t="n">
        <v>2</v>
      </c>
      <c r="M433" s="35" t="n">
        <v>2</v>
      </c>
      <c r="N433" s="35" t="n">
        <v>2</v>
      </c>
      <c r="O433" s="36" t="n">
        <v>0.9429999999999999</v>
      </c>
      <c r="P433" s="35" t="n">
        <v>1</v>
      </c>
      <c r="Q433" s="35" t="n">
        <v>3</v>
      </c>
      <c r="R433" s="35" t="n">
        <v>3</v>
      </c>
      <c r="S433" s="35" t="n">
        <v>3</v>
      </c>
      <c r="T433" s="37" t="n">
        <v>0.987</v>
      </c>
      <c r="U433" s="38">
        <f>IFERROR([@InspDone]/[@InspPlanned],0)</f>
        <v/>
      </c>
      <c r="V433" s="38">
        <f>IFERROR([@ObsClosed]/[@ObsRaised],0)</f>
        <v/>
      </c>
    </row>
    <row r="434">
      <c r="A434" s="33" t="n">
        <v>46143</v>
      </c>
      <c r="B434" s="28">
        <f>YEAR([@Period])</f>
        <v/>
      </c>
      <c r="C434" s="28">
        <f>TEXT([@Period],"mmm")</f>
        <v/>
      </c>
      <c r="D434" s="30">
        <f>MONTH([@Period])</f>
        <v/>
      </c>
      <c r="E434" s="28" t="inlineStr">
        <is>
          <t>Warehouse &amp; Stores</t>
        </is>
      </c>
      <c r="F434" s="28" t="inlineStr">
        <is>
          <t>Logistics</t>
        </is>
      </c>
      <c r="G434" s="28" t="inlineStr">
        <is>
          <t>Owner (Asanko)</t>
        </is>
      </c>
      <c r="H434" s="34" t="n">
        <v>4584</v>
      </c>
      <c r="I434" s="35" t="n">
        <v>0</v>
      </c>
      <c r="J434" s="35" t="n">
        <v>0</v>
      </c>
      <c r="K434" s="35" t="n">
        <v>2</v>
      </c>
      <c r="L434" s="35" t="n">
        <v>2</v>
      </c>
      <c r="M434" s="35" t="n">
        <v>2</v>
      </c>
      <c r="N434" s="35" t="n">
        <v>2</v>
      </c>
      <c r="O434" s="36" t="n">
        <v>0.9409999999999999</v>
      </c>
      <c r="P434" s="35" t="n">
        <v>0</v>
      </c>
      <c r="Q434" s="35" t="n">
        <v>1</v>
      </c>
      <c r="R434" s="35" t="n">
        <v>4</v>
      </c>
      <c r="S434" s="35" t="n">
        <v>4</v>
      </c>
      <c r="T434" s="37" t="n">
        <v>0.997</v>
      </c>
      <c r="U434" s="38">
        <f>IFERROR([@InspDone]/[@InspPlanned],0)</f>
        <v/>
      </c>
      <c r="V434" s="38">
        <f>IFERROR([@ObsClosed]/[@ObsRaised],0)</f>
        <v/>
      </c>
    </row>
    <row r="435">
      <c r="A435" s="33" t="n">
        <v>46143</v>
      </c>
      <c r="B435" s="28">
        <f>YEAR([@Period])</f>
        <v/>
      </c>
      <c r="C435" s="28">
        <f>TEXT([@Period],"mmm")</f>
        <v/>
      </c>
      <c r="D435" s="30">
        <f>MONTH([@Period])</f>
        <v/>
      </c>
      <c r="E435" s="28" t="inlineStr">
        <is>
          <t>Administration</t>
        </is>
      </c>
      <c r="F435" s="28" t="inlineStr">
        <is>
          <t>Administration</t>
        </is>
      </c>
      <c r="G435" s="28" t="inlineStr">
        <is>
          <t>Owner (Asanko)</t>
        </is>
      </c>
      <c r="H435" s="34" t="n">
        <v>12960</v>
      </c>
      <c r="I435" s="35" t="n">
        <v>0</v>
      </c>
      <c r="J435" s="35" t="n">
        <v>2</v>
      </c>
      <c r="K435" s="35" t="n">
        <v>5</v>
      </c>
      <c r="L435" s="35" t="n">
        <v>4</v>
      </c>
      <c r="M435" s="35" t="n">
        <v>3</v>
      </c>
      <c r="N435" s="35" t="n">
        <v>3</v>
      </c>
      <c r="O435" s="36" t="n">
        <v>0.961</v>
      </c>
      <c r="P435" s="35" t="n">
        <v>1</v>
      </c>
      <c r="Q435" s="35" t="n">
        <v>5</v>
      </c>
      <c r="R435" s="35" t="n">
        <v>10</v>
      </c>
      <c r="S435" s="35" t="n">
        <v>10</v>
      </c>
      <c r="T435" s="37" t="n">
        <v>0.909</v>
      </c>
      <c r="U435" s="38">
        <f>IFERROR([@InspDone]/[@InspPlanned],0)</f>
        <v/>
      </c>
      <c r="V435" s="38">
        <f>IFERROR([@ObsClosed]/[@ObsRaised],0)</f>
        <v/>
      </c>
    </row>
    <row r="436">
      <c r="A436" s="33" t="n">
        <v>46143</v>
      </c>
      <c r="B436" s="28">
        <f>YEAR([@Period])</f>
        <v/>
      </c>
      <c r="C436" s="28">
        <f>TEXT([@Period],"mmm")</f>
        <v/>
      </c>
      <c r="D436" s="30">
        <f>MONTH([@Period])</f>
        <v/>
      </c>
      <c r="E436" s="28" t="inlineStr">
        <is>
          <t>Accommodation Camp</t>
        </is>
      </c>
      <c r="F436" s="28" t="inlineStr">
        <is>
          <t>Administration</t>
        </is>
      </c>
      <c r="G436" s="28" t="inlineStr">
        <is>
          <t>Catering Co (Camp)</t>
        </is>
      </c>
      <c r="H436" s="34" t="n">
        <v>5400</v>
      </c>
      <c r="I436" s="35" t="n">
        <v>1</v>
      </c>
      <c r="J436" s="35" t="n">
        <v>3</v>
      </c>
      <c r="K436" s="35" t="n">
        <v>2</v>
      </c>
      <c r="L436" s="35" t="n">
        <v>2</v>
      </c>
      <c r="M436" s="35" t="n">
        <v>2</v>
      </c>
      <c r="N436" s="35" t="n">
        <v>2</v>
      </c>
      <c r="O436" s="36" t="n">
        <v>0.9330000000000001</v>
      </c>
      <c r="P436" s="35" t="n">
        <v>1</v>
      </c>
      <c r="Q436" s="35" t="n">
        <v>3</v>
      </c>
      <c r="R436" s="35" t="n">
        <v>5</v>
      </c>
      <c r="S436" s="35" t="n">
        <v>5</v>
      </c>
      <c r="T436" s="37" t="n">
        <v>0.925</v>
      </c>
      <c r="U436" s="38">
        <f>IFERROR([@InspDone]/[@InspPlanned],0)</f>
        <v/>
      </c>
      <c r="V436" s="38">
        <f>IFERROR([@ObsClosed]/[@ObsRaised],0)</f>
        <v/>
      </c>
    </row>
    <row r="437">
      <c r="A437" s="33" t="n">
        <v>46143</v>
      </c>
      <c r="B437" s="28">
        <f>YEAR([@Period])</f>
        <v/>
      </c>
      <c r="C437" s="28">
        <f>TEXT([@Period],"mmm")</f>
        <v/>
      </c>
      <c r="D437" s="30">
        <f>MONTH([@Period])</f>
        <v/>
      </c>
      <c r="E437" s="28" t="inlineStr">
        <is>
          <t>Security Gatehouse</t>
        </is>
      </c>
      <c r="F437" s="28" t="inlineStr">
        <is>
          <t>Security</t>
        </is>
      </c>
      <c r="G437" s="28" t="inlineStr">
        <is>
          <t>G4S (Security)</t>
        </is>
      </c>
      <c r="H437" s="34" t="n">
        <v>9540</v>
      </c>
      <c r="I437" s="35" t="n">
        <v>1</v>
      </c>
      <c r="J437" s="35" t="n">
        <v>1</v>
      </c>
      <c r="K437" s="35" t="n">
        <v>4</v>
      </c>
      <c r="L437" s="35" t="n">
        <v>4</v>
      </c>
      <c r="M437" s="35" t="n">
        <v>2</v>
      </c>
      <c r="N437" s="35" t="n">
        <v>2</v>
      </c>
      <c r="O437" s="36" t="n">
        <v>0.894</v>
      </c>
      <c r="P437" s="35" t="n">
        <v>1</v>
      </c>
      <c r="Q437" s="35" t="n">
        <v>1</v>
      </c>
      <c r="R437" s="35" t="n">
        <v>7</v>
      </c>
      <c r="S437" s="35" t="n">
        <v>7</v>
      </c>
      <c r="T437" s="37" t="n">
        <v>0.952</v>
      </c>
      <c r="U437" s="38">
        <f>IFERROR([@InspDone]/[@InspPlanned],0)</f>
        <v/>
      </c>
      <c r="V437" s="38">
        <f>IFERROR([@ObsClosed]/[@ObsRaised],0)</f>
        <v/>
      </c>
    </row>
  </sheetData>
  <mergeCells count="2">
    <mergeCell ref="A1:U2"/>
    <mergeCell ref="A3:U3"/>
  </mergeCells>
  <conditionalFormatting sqref="O6:O837">
    <cfRule type="colorScale" priority="1">
      <colorScale>
        <cfvo type="num" val="0.7"/>
        <cfvo type="num" val="0.9"/>
        <cfvo type="num" val="1"/>
        <color rgb="00FFC7CE"/>
        <color rgb="00FFEB9C"/>
        <color rgb="00C6EFCE"/>
      </colorScale>
    </cfRule>
  </conditionalFormatting>
  <dataValidations count="3">
    <dataValidation sqref="E6:E2000" showDropDown="0" showInputMessage="0" showErrorMessage="0" allowBlank="1" type="list">
      <formula1>Lists!$D$8:$D$25</formula1>
    </dataValidation>
    <dataValidation sqref="F6:F2000" showDropDown="0" showInputMessage="0" showErrorMessage="0" allowBlank="1" type="list">
      <formula1>Lists!$E$8:$E$15</formula1>
    </dataValidation>
    <dataValidation sqref="G6:G2000" showDropDown="0" showInputMessage="0" showErrorMessage="0" allowBlank="1" type="list">
      <formula1>Lists!$J$8:$J$14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2" customWidth="1" min="3" max="3"/>
    <col width="4" customWidth="1" min="4" max="4"/>
    <col width="10" customWidth="1" min="5" max="5"/>
  </cols>
  <sheetData>
    <row r="1" ht="16" customHeight="1">
      <c r="A1" s="1" t="inlineStr">
        <is>
          <t>ASANKO GOLD MINE   |   Settings, Rate Bases, Targets &amp; Thresholds</t>
        </is>
      </c>
      <c r="B1" s="2" t="n"/>
      <c r="C1" s="2" t="n"/>
      <c r="D1" s="2" t="n"/>
      <c r="E1" s="2" t="n"/>
    </row>
    <row r="2" ht="16" customHeight="1">
      <c r="A2" s="2" t="n"/>
      <c r="B2" s="2" t="n"/>
      <c r="C2" s="2" t="n"/>
      <c r="D2" s="2" t="n"/>
      <c r="E2" s="2" t="n"/>
    </row>
    <row r="3" ht="18" customHeight="1">
      <c r="A3" s="3" t="inlineStr">
        <is>
          <t>Health, Safety &amp; Environment Management System</t>
        </is>
      </c>
      <c r="B3" s="4" t="n"/>
      <c r="C3" s="4" t="n"/>
      <c r="D3" s="4" t="n"/>
      <c r="E3" s="4" t="n"/>
    </row>
    <row r="5">
      <c r="A5" s="39" t="inlineStr">
        <is>
          <t>EDIT THESE to re-tune the whole workbook. Every KPI formula references the named cells below (e.g. RATE_BASE, TARGET_TRIFR) -- never a hard-coded number.</t>
        </is>
      </c>
      <c r="B5" s="40" t="n"/>
      <c r="C5" s="40" t="n"/>
      <c r="D5" s="40" t="n"/>
      <c r="E5" s="40" t="n"/>
    </row>
    <row r="7">
      <c r="A7" s="41" t="inlineStr">
        <is>
          <t>Parameter</t>
        </is>
      </c>
      <c r="B7" s="41" t="inlineStr">
        <is>
          <t>Value</t>
        </is>
      </c>
      <c r="C7" s="41" t="inlineStr">
        <is>
          <t>Named range</t>
        </is>
      </c>
    </row>
    <row r="8">
      <c r="A8" s="40" t="inlineStr">
        <is>
          <t>Frequency-rate base (mining standard)</t>
        </is>
      </c>
      <c r="B8" s="42" t="n">
        <v>1000000</v>
      </c>
      <c r="C8" s="43" t="inlineStr">
        <is>
          <t>RATE_BASE</t>
        </is>
      </c>
    </row>
    <row r="9">
      <c r="A9" s="40" t="inlineStr">
        <is>
          <t>Frequency-rate base (OSHA 200,000 std)</t>
        </is>
      </c>
      <c r="B9" s="42" t="n">
        <v>200000</v>
      </c>
      <c r="C9" s="43" t="inlineStr">
        <is>
          <t>RATE_BASE_OSHA</t>
        </is>
      </c>
    </row>
    <row r="10">
      <c r="A10" s="40" t="inlineStr">
        <is>
          <t>Target TRIFR (per 1,000,000 hrs)</t>
        </is>
      </c>
      <c r="B10" s="44" t="n">
        <v>3</v>
      </c>
      <c r="C10" s="43" t="inlineStr">
        <is>
          <t>TARGET_TRIFR</t>
        </is>
      </c>
    </row>
    <row r="11">
      <c r="A11" s="40" t="inlineStr">
        <is>
          <t>Target LTIFR (per 1,000,000 hrs)</t>
        </is>
      </c>
      <c r="B11" s="44" t="n">
        <v>0.8</v>
      </c>
      <c r="C11" s="43" t="inlineStr">
        <is>
          <t>TARGET_LTIFR</t>
        </is>
      </c>
    </row>
    <row r="12">
      <c r="A12" s="40" t="inlineStr">
        <is>
          <t>Target inspection performance score</t>
        </is>
      </c>
      <c r="B12" s="45" t="n">
        <v>0.95</v>
      </c>
      <c r="C12" s="43" t="inlineStr">
        <is>
          <t>TARGET_INSPECTION</t>
        </is>
      </c>
    </row>
    <row r="13">
      <c r="A13" s="40" t="inlineStr">
        <is>
          <t>Target training completion rate</t>
        </is>
      </c>
      <c r="B13" s="45" t="n">
        <v>0.9</v>
      </c>
      <c r="C13" s="43" t="inlineStr">
        <is>
          <t>TARGET_TRAINING</t>
        </is>
      </c>
    </row>
    <row r="14">
      <c r="A14" s="40" t="inlineStr">
        <is>
          <t>Target environmental compliance</t>
        </is>
      </c>
      <c r="B14" s="45" t="n">
        <v>0.98</v>
      </c>
      <c r="C14" s="43" t="inlineStr">
        <is>
          <t>TARGET_ENV</t>
        </is>
      </c>
    </row>
    <row r="15">
      <c r="A15" s="40" t="inlineStr">
        <is>
          <t>Target near-miss reports (per month)</t>
        </is>
      </c>
      <c r="B15" s="42" t="n">
        <v>40</v>
      </c>
      <c r="C15" s="43" t="inlineStr">
        <is>
          <t>TARGET_NEARMISS</t>
        </is>
      </c>
    </row>
    <row r="16">
      <c r="A16" s="40" t="inlineStr">
        <is>
          <t>Target near-miss : recordable ratio</t>
        </is>
      </c>
      <c r="B16" s="42" t="n">
        <v>10</v>
      </c>
      <c r="C16" s="43" t="inlineStr">
        <is>
          <t>NEARMISS_RATIO_TGT</t>
        </is>
      </c>
    </row>
    <row r="17">
      <c r="A17" s="40" t="inlineStr">
        <is>
          <t>Days-since-LTI: green threshold</t>
        </is>
      </c>
      <c r="B17" s="42" t="n">
        <v>30</v>
      </c>
      <c r="C17" s="43" t="inlineStr">
        <is>
          <t>THRESH_LTI_GOOD</t>
        </is>
      </c>
    </row>
    <row r="18">
      <c r="A18" s="40" t="inlineStr">
        <is>
          <t>Days-since-LTI: amber threshold</t>
        </is>
      </c>
      <c r="B18" s="42" t="n">
        <v>7</v>
      </c>
      <c r="C18" s="43" t="inlineStr">
        <is>
          <t>THRESH_LTI_WARN</t>
        </is>
      </c>
    </row>
    <row r="19">
      <c r="A19" s="40" t="inlineStr">
        <is>
          <t>PM10 dust limit (ug/m3, EPA Ghana)</t>
        </is>
      </c>
      <c r="B19" s="42" t="n">
        <v>70</v>
      </c>
      <c r="C19" s="43" t="inlineStr">
        <is>
          <t>PM10_LIMIT</t>
        </is>
      </c>
    </row>
    <row r="20">
      <c r="A20" s="40" t="inlineStr">
        <is>
          <t>Discharge pH lower limit</t>
        </is>
      </c>
      <c r="B20" s="44" t="n">
        <v>6</v>
      </c>
      <c r="C20" s="43" t="inlineStr">
        <is>
          <t>PH_MIN</t>
        </is>
      </c>
    </row>
    <row r="21">
      <c r="A21" s="40" t="inlineStr">
        <is>
          <t>Discharge pH upper limit</t>
        </is>
      </c>
      <c r="B21" s="44" t="n">
        <v>9</v>
      </c>
      <c r="C21" s="43" t="inlineStr">
        <is>
          <t>PH_MAX</t>
        </is>
      </c>
    </row>
    <row r="22">
      <c r="A22" s="40" t="inlineStr">
        <is>
          <t>WAD cyanide limit (mg/L, ICMC)</t>
        </is>
      </c>
      <c r="B22" s="42" t="n">
        <v>50</v>
      </c>
      <c r="C22" s="43" t="inlineStr">
        <is>
          <t>WADCN_LIMIT</t>
        </is>
      </c>
    </row>
  </sheetData>
  <mergeCells count="2">
    <mergeCell ref="A1:E2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16" customHeight="1">
      <c r="A1" s="1" t="inlineStr">
        <is>
          <t>ASANKO GOLD MINE   |   Reference Lists &amp; Validation Sources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18" customHeight="1">
      <c r="A3" s="3" t="inlineStr">
        <is>
          <t>Health, Safety &amp; Environment Management System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</row>
    <row r="5">
      <c r="A5" s="46" t="inlineStr">
        <is>
          <t>These lists feed the data-validation dropdowns and named ranges. Add new options at the bottom of a column to extend a dropdown.</t>
        </is>
      </c>
    </row>
    <row r="7">
      <c r="A7" s="41" t="inlineStr">
        <is>
          <t>Type</t>
        </is>
      </c>
      <c r="B7" s="41" t="inlineStr">
        <is>
          <t>Class</t>
        </is>
      </c>
      <c r="C7" s="41" t="inlineStr">
        <is>
          <t>IncStatus</t>
        </is>
      </c>
      <c r="D7" s="41" t="inlineStr">
        <is>
          <t>Area</t>
        </is>
      </c>
      <c r="E7" s="41" t="inlineStr">
        <is>
          <t>Dept</t>
        </is>
      </c>
      <c r="F7" s="41" t="inlineStr">
        <is>
          <t>Severity</t>
        </is>
      </c>
      <c r="G7" s="41" t="inlineStr">
        <is>
          <t>ActionStatus</t>
        </is>
      </c>
      <c r="H7" s="41" t="inlineStr">
        <is>
          <t>Month</t>
        </is>
      </c>
      <c r="I7" s="41" t="inlineStr">
        <is>
          <t>Year</t>
        </is>
      </c>
      <c r="J7" s="41" t="inlineStr">
        <is>
          <t>Company</t>
        </is>
      </c>
      <c r="K7" s="41" t="inlineStr">
        <is>
          <t>YesNo</t>
        </is>
      </c>
      <c r="L7" s="41" t="inlineStr">
        <is>
          <t>Adequacy</t>
        </is>
      </c>
      <c r="M7" s="41" t="inlineStr">
        <is>
          <t>Priority</t>
        </is>
      </c>
      <c r="N7" s="41" t="inlineStr">
        <is>
          <t>AuditType</t>
        </is>
      </c>
      <c r="O7" s="41" t="inlineStr">
        <is>
          <t>AreaFilter</t>
        </is>
      </c>
      <c r="P7" s="41" t="inlineStr">
        <is>
          <t>DeptFilter</t>
        </is>
      </c>
    </row>
    <row r="8">
      <c r="A8" s="47" t="inlineStr">
        <is>
          <t>Medical Treatment</t>
        </is>
      </c>
      <c r="B8" s="47" t="inlineStr">
        <is>
          <t>Personal Injury</t>
        </is>
      </c>
      <c r="C8" s="47" t="inlineStr">
        <is>
          <t>Open</t>
        </is>
      </c>
      <c r="D8" s="47" t="inlineStr">
        <is>
          <t>Nkran Open Pit</t>
        </is>
      </c>
      <c r="E8" s="47" t="inlineStr">
        <is>
          <t>Administration</t>
        </is>
      </c>
      <c r="F8" s="47" t="n">
        <v>1</v>
      </c>
      <c r="G8" s="47" t="inlineStr">
        <is>
          <t>Open</t>
        </is>
      </c>
      <c r="H8" s="47" t="inlineStr">
        <is>
          <t>All</t>
        </is>
      </c>
      <c r="I8" s="47" t="inlineStr">
        <is>
          <t>All</t>
        </is>
      </c>
      <c r="J8" s="47" t="inlineStr">
        <is>
          <t>Owner (Asanko)</t>
        </is>
      </c>
      <c r="K8" s="47" t="inlineStr">
        <is>
          <t>Yes</t>
        </is>
      </c>
      <c r="L8" s="47" t="inlineStr">
        <is>
          <t>Adequate</t>
        </is>
      </c>
      <c r="M8" s="47" t="inlineStr">
        <is>
          <t>Low</t>
        </is>
      </c>
      <c r="N8" s="47" t="inlineStr">
        <is>
          <t>Internal</t>
        </is>
      </c>
      <c r="O8" s="47" t="inlineStr">
        <is>
          <t>All</t>
        </is>
      </c>
      <c r="P8" s="47" t="inlineStr">
        <is>
          <t>All</t>
        </is>
      </c>
    </row>
    <row r="9">
      <c r="A9" s="47" t="inlineStr">
        <is>
          <t>First Aid</t>
        </is>
      </c>
      <c r="B9" s="47" t="inlineStr">
        <is>
          <t>Occupational Illness</t>
        </is>
      </c>
      <c r="C9" s="47" t="inlineStr">
        <is>
          <t>Under Investigation</t>
        </is>
      </c>
      <c r="D9" s="47" t="inlineStr">
        <is>
          <t>Esaase Open Pit</t>
        </is>
      </c>
      <c r="E9" s="47" t="inlineStr">
        <is>
          <t>Engineering</t>
        </is>
      </c>
      <c r="F9" s="47" t="n">
        <v>2</v>
      </c>
      <c r="G9" s="47" t="inlineStr">
        <is>
          <t>In Progress</t>
        </is>
      </c>
      <c r="H9" s="47" t="inlineStr">
        <is>
          <t>Jan</t>
        </is>
      </c>
      <c r="I9" s="47" t="n">
        <v>2024</v>
      </c>
      <c r="J9" s="47" t="inlineStr">
        <is>
          <t>AUMS (Mining Contractor)</t>
        </is>
      </c>
      <c r="K9" s="47" t="inlineStr">
        <is>
          <t>No</t>
        </is>
      </c>
      <c r="L9" s="47" t="inlineStr">
        <is>
          <t>Needs Improvement</t>
        </is>
      </c>
      <c r="M9" s="47" t="inlineStr">
        <is>
          <t>Medium</t>
        </is>
      </c>
      <c r="N9" s="47" t="inlineStr">
        <is>
          <t>External</t>
        </is>
      </c>
      <c r="O9" s="47" t="inlineStr">
        <is>
          <t>Nkran Open Pit</t>
        </is>
      </c>
      <c r="P9" s="47" t="inlineStr">
        <is>
          <t>Administration</t>
        </is>
      </c>
    </row>
    <row r="10">
      <c r="A10" s="47" t="inlineStr">
        <is>
          <t>Restricted Work</t>
        </is>
      </c>
      <c r="B10" s="47" t="inlineStr">
        <is>
          <t>Fire / Explosion</t>
        </is>
      </c>
      <c r="C10" s="47" t="inlineStr">
        <is>
          <t>Action Pending</t>
        </is>
      </c>
      <c r="D10" s="47" t="inlineStr">
        <is>
          <t>Drill &amp; Blast</t>
        </is>
      </c>
      <c r="E10" s="47" t="inlineStr">
        <is>
          <t>Environment</t>
        </is>
      </c>
      <c r="F10" s="47" t="n">
        <v>3</v>
      </c>
      <c r="G10" s="47" t="inlineStr">
        <is>
          <t>Due Soon</t>
        </is>
      </c>
      <c r="H10" s="47" t="inlineStr">
        <is>
          <t>Feb</t>
        </is>
      </c>
      <c r="I10" s="47" t="n">
        <v>2025</v>
      </c>
      <c r="J10" s="47" t="inlineStr">
        <is>
          <t>Maxam (Blasting)</t>
        </is>
      </c>
      <c r="L10" s="47" t="inlineStr">
        <is>
          <t>Inadequate</t>
        </is>
      </c>
      <c r="M10" s="47" t="inlineStr">
        <is>
          <t>High</t>
        </is>
      </c>
      <c r="N10" s="47" t="inlineStr">
        <is>
          <t>Regulatory</t>
        </is>
      </c>
      <c r="O10" s="47" t="inlineStr">
        <is>
          <t>Esaase Open Pit</t>
        </is>
      </c>
      <c r="P10" s="47" t="inlineStr">
        <is>
          <t>Engineering</t>
        </is>
      </c>
    </row>
    <row r="11">
      <c r="A11" s="47" t="inlineStr">
        <is>
          <t>Lost Time Injury</t>
        </is>
      </c>
      <c r="B11" s="47" t="inlineStr">
        <is>
          <t>Chemical / Cyanide Spill</t>
        </is>
      </c>
      <c r="C11" s="47" t="inlineStr">
        <is>
          <t>Closed</t>
        </is>
      </c>
      <c r="D11" s="47" t="inlineStr">
        <is>
          <t>Haul Roads</t>
        </is>
      </c>
      <c r="E11" s="47" t="inlineStr">
        <is>
          <t>Laboratory</t>
        </is>
      </c>
      <c r="F11" s="47" t="n">
        <v>4</v>
      </c>
      <c r="G11" s="47" t="inlineStr">
        <is>
          <t>Closed</t>
        </is>
      </c>
      <c r="H11" s="47" t="inlineStr">
        <is>
          <t>Mar</t>
        </is>
      </c>
      <c r="I11" s="47" t="n">
        <v>2026</v>
      </c>
      <c r="J11" s="47" t="inlineStr">
        <is>
          <t>SGS (Laboratory)</t>
        </is>
      </c>
      <c r="M11" s="47" t="inlineStr">
        <is>
          <t>Critical</t>
        </is>
      </c>
      <c r="O11" s="47" t="inlineStr">
        <is>
          <t>Drill &amp; Blast</t>
        </is>
      </c>
      <c r="P11" s="47" t="inlineStr">
        <is>
          <t>Environment</t>
        </is>
      </c>
    </row>
    <row r="12">
      <c r="A12" s="47" t="inlineStr">
        <is>
          <t>Property Damage</t>
        </is>
      </c>
      <c r="B12" s="47" t="inlineStr">
        <is>
          <t>Vehicle / Mobile Equipment</t>
        </is>
      </c>
      <c r="D12" s="47" t="inlineStr">
        <is>
          <t>Explosives Magazine</t>
        </is>
      </c>
      <c r="E12" s="47" t="inlineStr">
        <is>
          <t>Logistics</t>
        </is>
      </c>
      <c r="F12" s="47" t="n">
        <v>5</v>
      </c>
      <c r="H12" s="47" t="inlineStr">
        <is>
          <t>Apr</t>
        </is>
      </c>
      <c r="J12" s="47" t="inlineStr">
        <is>
          <t>Genser (Power)</t>
        </is>
      </c>
      <c r="O12" s="47" t="inlineStr">
        <is>
          <t>Haul Roads</t>
        </is>
      </c>
      <c r="P12" s="47" t="inlineStr">
        <is>
          <t>Laboratory</t>
        </is>
      </c>
    </row>
    <row r="13">
      <c r="A13" s="47" t="inlineStr">
        <is>
          <t>Environmental</t>
        </is>
      </c>
      <c r="B13" s="47" t="inlineStr">
        <is>
          <t>Slip / Trip / Fall</t>
        </is>
      </c>
      <c r="D13" s="47" t="inlineStr">
        <is>
          <t>Crushing Circuit</t>
        </is>
      </c>
      <c r="E13" s="47" t="inlineStr">
        <is>
          <t>Mining</t>
        </is>
      </c>
      <c r="H13" s="47" t="inlineStr">
        <is>
          <t>May</t>
        </is>
      </c>
      <c r="J13" s="47" t="inlineStr">
        <is>
          <t>Catering Co (Camp)</t>
        </is>
      </c>
      <c r="O13" s="47" t="inlineStr">
        <is>
          <t>Explosives Magazine</t>
        </is>
      </c>
      <c r="P13" s="47" t="inlineStr">
        <is>
          <t>Logistics</t>
        </is>
      </c>
    </row>
    <row r="14">
      <c r="A14" s="47" t="inlineStr">
        <is>
          <t>Other</t>
        </is>
      </c>
      <c r="B14" s="47" t="inlineStr">
        <is>
          <t>Fall from Height</t>
        </is>
      </c>
      <c r="D14" s="47" t="inlineStr">
        <is>
          <t>Processing Plant (CIL)</t>
        </is>
      </c>
      <c r="E14" s="47" t="inlineStr">
        <is>
          <t>Processing</t>
        </is>
      </c>
      <c r="H14" s="47" t="inlineStr">
        <is>
          <t>Jun</t>
        </is>
      </c>
      <c r="J14" s="47" t="inlineStr">
        <is>
          <t>G4S (Security)</t>
        </is>
      </c>
      <c r="O14" s="47" t="inlineStr">
        <is>
          <t>Crushing Circuit</t>
        </is>
      </c>
      <c r="P14" s="47" t="inlineStr">
        <is>
          <t>Mining</t>
        </is>
      </c>
    </row>
    <row r="15">
      <c r="B15" s="47" t="inlineStr">
        <is>
          <t>Caught Between / Struck By</t>
        </is>
      </c>
      <c r="D15" s="47" t="inlineStr">
        <is>
          <t>Elution &amp; Gold Room</t>
        </is>
      </c>
      <c r="E15" s="47" t="inlineStr">
        <is>
          <t>Security</t>
        </is>
      </c>
      <c r="H15" s="47" t="inlineStr">
        <is>
          <t>Jul</t>
        </is>
      </c>
      <c r="O15" s="47" t="inlineStr">
        <is>
          <t>Processing Plant (CIL)</t>
        </is>
      </c>
      <c r="P15" s="47" t="inlineStr">
        <is>
          <t>Processing</t>
        </is>
      </c>
    </row>
    <row r="16">
      <c r="B16" s="47" t="inlineStr">
        <is>
          <t>Electrical</t>
        </is>
      </c>
      <c r="D16" s="47" t="inlineStr">
        <is>
          <t>Tailings Storage Facility</t>
        </is>
      </c>
      <c r="H16" s="47" t="inlineStr">
        <is>
          <t>Aug</t>
        </is>
      </c>
      <c r="O16" s="47" t="inlineStr">
        <is>
          <t>Elution &amp; Gold Room</t>
        </is>
      </c>
      <c r="P16" s="47" t="inlineStr">
        <is>
          <t>Security</t>
        </is>
      </c>
    </row>
    <row r="17">
      <c r="B17" s="47" t="inlineStr">
        <is>
          <t>Environmental Release</t>
        </is>
      </c>
      <c r="D17" s="47" t="inlineStr">
        <is>
          <t>Water Treatment</t>
        </is>
      </c>
      <c r="H17" s="47" t="inlineStr">
        <is>
          <t>Sep</t>
        </is>
      </c>
      <c r="O17" s="47" t="inlineStr">
        <is>
          <t>Tailings Storage Facility</t>
        </is>
      </c>
    </row>
    <row r="18">
      <c r="B18" s="47" t="inlineStr">
        <is>
          <t>Security</t>
        </is>
      </c>
      <c r="D18" s="47" t="inlineStr">
        <is>
          <t>Assay Laboratory</t>
        </is>
      </c>
      <c r="H18" s="47" t="inlineStr">
        <is>
          <t>Oct</t>
        </is>
      </c>
      <c r="O18" s="47" t="inlineStr">
        <is>
          <t>Water Treatment</t>
        </is>
      </c>
    </row>
    <row r="19">
      <c r="B19" s="47" t="inlineStr">
        <is>
          <t>Other</t>
        </is>
      </c>
      <c r="D19" s="47" t="inlineStr">
        <is>
          <t>HME Workshop</t>
        </is>
      </c>
      <c r="H19" s="47" t="inlineStr">
        <is>
          <t>Nov</t>
        </is>
      </c>
      <c r="O19" s="47" t="inlineStr">
        <is>
          <t>Assay Laboratory</t>
        </is>
      </c>
    </row>
    <row r="20">
      <c r="D20" s="47" t="inlineStr">
        <is>
          <t>Fuel Farm</t>
        </is>
      </c>
      <c r="H20" s="47" t="inlineStr">
        <is>
          <t>Dec</t>
        </is>
      </c>
      <c r="O20" s="47" t="inlineStr">
        <is>
          <t>HME Workshop</t>
        </is>
      </c>
    </row>
    <row r="21">
      <c r="D21" s="47" t="inlineStr">
        <is>
          <t>Power Station</t>
        </is>
      </c>
      <c r="O21" s="47" t="inlineStr">
        <is>
          <t>Fuel Farm</t>
        </is>
      </c>
    </row>
    <row r="22">
      <c r="D22" s="47" t="inlineStr">
        <is>
          <t>Warehouse &amp; Stores</t>
        </is>
      </c>
      <c r="O22" s="47" t="inlineStr">
        <is>
          <t>Power Station</t>
        </is>
      </c>
    </row>
    <row r="23">
      <c r="D23" s="47" t="inlineStr">
        <is>
          <t>Administration</t>
        </is>
      </c>
      <c r="O23" s="47" t="inlineStr">
        <is>
          <t>Warehouse &amp; Stores</t>
        </is>
      </c>
    </row>
    <row r="24">
      <c r="D24" s="47" t="inlineStr">
        <is>
          <t>Accommodation Camp</t>
        </is>
      </c>
      <c r="O24" s="47" t="inlineStr">
        <is>
          <t>Administration</t>
        </is>
      </c>
    </row>
    <row r="25">
      <c r="D25" s="47" t="inlineStr">
        <is>
          <t>Security Gatehouse</t>
        </is>
      </c>
      <c r="O25" s="47" t="inlineStr">
        <is>
          <t>Accommodation Camp</t>
        </is>
      </c>
    </row>
    <row r="26">
      <c r="O26" s="47" t="inlineStr">
        <is>
          <t>Security Gatehouse</t>
        </is>
      </c>
    </row>
  </sheetData>
  <mergeCells count="2">
    <mergeCell ref="A3:R3"/>
    <mergeCell ref="A1:R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16" customHeight="1">
      <c r="A1" s="1" t="inlineStr">
        <is>
          <t>ASANKO GOLD MINE   |   Near-Miss Reporting &amp; Ratio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18" customHeight="1">
      <c r="A3" s="3" t="inlineStr">
        <is>
          <t>Health, Safety &amp; Environment Management System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5">
      <c r="B5" s="13" t="inlineStr">
        <is>
          <t>NEAR MISSES (period)</t>
        </is>
      </c>
      <c r="C5" s="14" t="n"/>
      <c r="D5" s="15" t="n"/>
      <c r="F5" s="13" t="inlineStr">
        <is>
          <t>RECORDABLES (period)</t>
        </is>
      </c>
      <c r="G5" s="14" t="n"/>
      <c r="H5" s="15" t="n"/>
      <c r="J5" s="16" t="inlineStr">
        <is>
          <t>NEAR-MISS : RECORDABLE</t>
        </is>
      </c>
      <c r="K5" s="14" t="n"/>
      <c r="L5" s="15" t="n"/>
      <c r="N5" s="13" t="inlineStr">
        <is>
          <t>HAZARDS REPORTED</t>
        </is>
      </c>
      <c r="O5" s="14" t="n"/>
      <c r="P5" s="15" t="n"/>
    </row>
    <row r="6">
      <c r="B6" s="17">
        <f>SUMPRODUCT(((F_Year="All")+(F_Year="")+(tblActivity[Year]=F_Year))*((F_Month="All")+(F_Month="")+(tblActivity[MonthName]=F_Month))*((F_Dept="All")+(F_Dept="")+(tblActivity[Department]=F_Dept))*((F_Loc="All")+(F_Loc="")+(tblActivity[Area]=F_Loc))*tblActivity[NearMisses])</f>
        <v/>
      </c>
      <c r="C6" s="18" t="n"/>
      <c r="D6" s="19" t="n"/>
      <c r="F6" s="17">
        <f>SUMPRODUCT(((F_Year="All")+(F_Year="")+(tblIncidents[Year]=F_Year))*((F_Month="All")+(F_Month="")+(tblIncidents[MonthName]=F_Month))*((F_Dept="All")+(F_Dept="")+(tblIncidents[Department]=F_Dept))*((F_Loc="All")+(F_Loc="")+(tblIncidents[Area]=F_Loc))*tblIncidents[Recordable])</f>
        <v/>
      </c>
      <c r="G6" s="18" t="n"/>
      <c r="H6" s="19" t="n"/>
      <c r="J6" s="21">
        <f>IFERROR(SUMPRODUCT(((F_Year="All")+(F_Year="")+(tblActivity[Year]=F_Year))*((F_Month="All")+(F_Month="")+(tblActivity[MonthName]=F_Month))*((F_Dept="All")+(F_Dept="")+(tblActivity[Department]=F_Dept))*((F_Loc="All")+(F_Loc="")+(tblActivity[Area]=F_Loc))*tblActivity[NearMisses])/SUMPRODUCT(((F_Year="All")+(F_Year="")+(tblIncidents[Year]=F_Year))*((F_Month="All")+(F_Month="")+(tblIncidents[MonthName]=F_Month))*((F_Dept="All")+(F_Dept="")+(tblIncidents[Department]=F_Dept))*((F_Loc="All")+(F_Loc="")+(tblIncidents[Area]=F_Loc))*tblIncidents[Recordable]),0)</f>
        <v/>
      </c>
      <c r="K6" s="18" t="n"/>
      <c r="L6" s="19" t="n"/>
      <c r="N6" s="17">
        <f>SUMPRODUCT(((F_Year="All")+(F_Year="")+(tblActivity[Year]=F_Year))*((F_Month="All")+(F_Month="")+(tblActivity[MonthName]=F_Month))*((F_Dept="All")+(F_Dept="")+(tblActivity[Department]=F_Dept))*((F_Loc="All")+(F_Loc="")+(tblActivity[Area]=F_Loc))*tblActivity[Hazards])</f>
        <v/>
      </c>
      <c r="O6" s="18" t="n"/>
      <c r="P6" s="19" t="n"/>
    </row>
    <row r="7">
      <c r="B7" s="22" t="n"/>
      <c r="C7" s="23" t="n"/>
      <c r="D7" s="24" t="n"/>
      <c r="F7" s="22" t="n"/>
      <c r="G7" s="23" t="n"/>
      <c r="H7" s="24" t="n"/>
      <c r="J7" s="22" t="n"/>
      <c r="K7" s="23" t="n"/>
      <c r="L7" s="24" t="n"/>
      <c r="N7" s="22" t="n"/>
      <c r="O7" s="23" t="n"/>
      <c r="P7" s="24" t="n"/>
    </row>
    <row r="8">
      <c r="B8" s="48" t="n"/>
      <c r="C8" s="14" t="n"/>
      <c r="D8" s="15" t="n"/>
      <c r="F8" s="48" t="n"/>
      <c r="G8" s="14" t="n"/>
      <c r="H8" s="15" t="n"/>
      <c r="J8" s="25">
        <f>IF(J6&gt;=NEARMISS_RATIO_TGT,"HEALTHY","IMPROVE REPORTING")</f>
        <v/>
      </c>
      <c r="K8" s="14" t="n"/>
      <c r="L8" s="15" t="n"/>
      <c r="N8" s="48" t="n"/>
      <c r="O8" s="14" t="n"/>
      <c r="P8" s="15" t="n"/>
    </row>
    <row r="11">
      <c r="B11" s="5" t="inlineStr">
        <is>
          <t>REPORTING TRENDS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30">
      <c r="B30" s="49" t="inlineStr">
        <is>
          <t>Area</t>
        </is>
      </c>
      <c r="C30" s="49" t="inlineStr">
        <is>
          <t>Near Misses</t>
        </is>
      </c>
    </row>
    <row r="31">
      <c r="B31" t="inlineStr">
        <is>
          <t>Nkran Open Pit</t>
        </is>
      </c>
      <c r="C31">
        <f>SUMPRODUCT(((F_Year="All")+(F_Year="")+(tblActivity[Year]=F_Year))*((F_Month="All")+(F_Month="")+(tblActivity[MonthName]=F_Month))*((F_Dept="All")+(F_Dept="")+(tblActivity[Department]=F_Dept))*(tblActivity[Area]=$B31)*tblActivity[NearMisses])</f>
        <v/>
      </c>
    </row>
    <row r="32">
      <c r="B32" t="inlineStr">
        <is>
          <t>Esaase Open Pit</t>
        </is>
      </c>
      <c r="C32">
        <f>SUMPRODUCT(((F_Year="All")+(F_Year="")+(tblActivity[Year]=F_Year))*((F_Month="All")+(F_Month="")+(tblActivity[MonthName]=F_Month))*((F_Dept="All")+(F_Dept="")+(tblActivity[Department]=F_Dept))*(tblActivity[Area]=$B32)*tblActivity[NearMisses])</f>
        <v/>
      </c>
    </row>
    <row r="33">
      <c r="B33" t="inlineStr">
        <is>
          <t>Drill &amp; Blast</t>
        </is>
      </c>
      <c r="C33">
        <f>SUMPRODUCT(((F_Year="All")+(F_Year="")+(tblActivity[Year]=F_Year))*((F_Month="All")+(F_Month="")+(tblActivity[MonthName]=F_Month))*((F_Dept="All")+(F_Dept="")+(tblActivity[Department]=F_Dept))*(tblActivity[Area]=$B33)*tblActivity[NearMisses])</f>
        <v/>
      </c>
    </row>
    <row r="34">
      <c r="B34" t="inlineStr">
        <is>
          <t>Haul Roads</t>
        </is>
      </c>
      <c r="C34">
        <f>SUMPRODUCT(((F_Year="All")+(F_Year="")+(tblActivity[Year]=F_Year))*((F_Month="All")+(F_Month="")+(tblActivity[MonthName]=F_Month))*((F_Dept="All")+(F_Dept="")+(tblActivity[Department]=F_Dept))*(tblActivity[Area]=$B34)*tblActivity[NearMisses])</f>
        <v/>
      </c>
    </row>
    <row r="35">
      <c r="B35" t="inlineStr">
        <is>
          <t>Explosives Magazine</t>
        </is>
      </c>
      <c r="C35">
        <f>SUMPRODUCT(((F_Year="All")+(F_Year="")+(tblActivity[Year]=F_Year))*((F_Month="All")+(F_Month="")+(tblActivity[MonthName]=F_Month))*((F_Dept="All")+(F_Dept="")+(tblActivity[Department]=F_Dept))*(tblActivity[Area]=$B35)*tblActivity[NearMisses])</f>
        <v/>
      </c>
    </row>
    <row r="36">
      <c r="B36" t="inlineStr">
        <is>
          <t>Crushing Circuit</t>
        </is>
      </c>
      <c r="C36">
        <f>SUMPRODUCT(((F_Year="All")+(F_Year="")+(tblActivity[Year]=F_Year))*((F_Month="All")+(F_Month="")+(tblActivity[MonthName]=F_Month))*((F_Dept="All")+(F_Dept="")+(tblActivity[Department]=F_Dept))*(tblActivity[Area]=$B36)*tblActivity[NearMisses])</f>
        <v/>
      </c>
    </row>
    <row r="37">
      <c r="B37" t="inlineStr">
        <is>
          <t>Processing Plant (CIL)</t>
        </is>
      </c>
      <c r="C37">
        <f>SUMPRODUCT(((F_Year="All")+(F_Year="")+(tblActivity[Year]=F_Year))*((F_Month="All")+(F_Month="")+(tblActivity[MonthName]=F_Month))*((F_Dept="All")+(F_Dept="")+(tblActivity[Department]=F_Dept))*(tblActivity[Area]=$B37)*tblActivity[NearMisses])</f>
        <v/>
      </c>
    </row>
    <row r="38">
      <c r="B38" t="inlineStr">
        <is>
          <t>Elution &amp; Gold Room</t>
        </is>
      </c>
      <c r="C38">
        <f>SUMPRODUCT(((F_Year="All")+(F_Year="")+(tblActivity[Year]=F_Year))*((F_Month="All")+(F_Month="")+(tblActivity[MonthName]=F_Month))*((F_Dept="All")+(F_Dept="")+(tblActivity[Department]=F_Dept))*(tblActivity[Area]=$B38)*tblActivity[NearMisses])</f>
        <v/>
      </c>
    </row>
    <row r="39">
      <c r="B39" t="inlineStr">
        <is>
          <t>Tailings Storage Facility</t>
        </is>
      </c>
      <c r="C39">
        <f>SUMPRODUCT(((F_Year="All")+(F_Year="")+(tblActivity[Year]=F_Year))*((F_Month="All")+(F_Month="")+(tblActivity[MonthName]=F_Month))*((F_Dept="All")+(F_Dept="")+(tblActivity[Department]=F_Dept))*(tblActivity[Area]=$B39)*tblActivity[NearMisses])</f>
        <v/>
      </c>
    </row>
    <row r="40">
      <c r="B40" t="inlineStr">
        <is>
          <t>Water Treatment</t>
        </is>
      </c>
      <c r="C40">
        <f>SUMPRODUCT(((F_Year="All")+(F_Year="")+(tblActivity[Year]=F_Year))*((F_Month="All")+(F_Month="")+(tblActivity[MonthName]=F_Month))*((F_Dept="All")+(F_Dept="")+(tblActivity[Department]=F_Dept))*(tblActivity[Area]=$B40)*tblActivity[NearMisses])</f>
        <v/>
      </c>
    </row>
    <row r="41">
      <c r="B41" t="inlineStr">
        <is>
          <t>Assay Laboratory</t>
        </is>
      </c>
      <c r="C41">
        <f>SUMPRODUCT(((F_Year="All")+(F_Year="")+(tblActivity[Year]=F_Year))*((F_Month="All")+(F_Month="")+(tblActivity[MonthName]=F_Month))*((F_Dept="All")+(F_Dept="")+(tblActivity[Department]=F_Dept))*(tblActivity[Area]=$B41)*tblActivity[NearMisses])</f>
        <v/>
      </c>
    </row>
    <row r="42">
      <c r="B42" t="inlineStr">
        <is>
          <t>HME Workshop</t>
        </is>
      </c>
      <c r="C42">
        <f>SUMPRODUCT(((F_Year="All")+(F_Year="")+(tblActivity[Year]=F_Year))*((F_Month="All")+(F_Month="")+(tblActivity[MonthName]=F_Month))*((F_Dept="All")+(F_Dept="")+(tblActivity[Department]=F_Dept))*(tblActivity[Area]=$B42)*tblActivity[NearMisses])</f>
        <v/>
      </c>
    </row>
    <row r="43">
      <c r="B43" t="inlineStr">
        <is>
          <t>Fuel Farm</t>
        </is>
      </c>
      <c r="C43">
        <f>SUMPRODUCT(((F_Year="All")+(F_Year="")+(tblActivity[Year]=F_Year))*((F_Month="All")+(F_Month="")+(tblActivity[MonthName]=F_Month))*((F_Dept="All")+(F_Dept="")+(tblActivity[Department]=F_Dept))*(tblActivity[Area]=$B43)*tblActivity[NearMisses])</f>
        <v/>
      </c>
    </row>
    <row r="44">
      <c r="B44" t="inlineStr">
        <is>
          <t>Power Station</t>
        </is>
      </c>
      <c r="C44">
        <f>SUMPRODUCT(((F_Year="All")+(F_Year="")+(tblActivity[Year]=F_Year))*((F_Month="All")+(F_Month="")+(tblActivity[MonthName]=F_Month))*((F_Dept="All")+(F_Dept="")+(tblActivity[Department]=F_Dept))*(tblActivity[Area]=$B44)*tblActivity[NearMisses])</f>
        <v/>
      </c>
    </row>
    <row r="45">
      <c r="B45" t="inlineStr">
        <is>
          <t>Warehouse &amp; Stores</t>
        </is>
      </c>
      <c r="C45">
        <f>SUMPRODUCT(((F_Year="All")+(F_Year="")+(tblActivity[Year]=F_Year))*((F_Month="All")+(F_Month="")+(tblActivity[MonthName]=F_Month))*((F_Dept="All")+(F_Dept="")+(tblActivity[Department]=F_Dept))*(tblActivity[Area]=$B45)*tblActivity[NearMisses])</f>
        <v/>
      </c>
    </row>
    <row r="46">
      <c r="B46" t="inlineStr">
        <is>
          <t>Administration</t>
        </is>
      </c>
      <c r="C46">
        <f>SUMPRODUCT(((F_Year="All")+(F_Year="")+(tblActivity[Year]=F_Year))*((F_Month="All")+(F_Month="")+(tblActivity[MonthName]=F_Month))*((F_Dept="All")+(F_Dept="")+(tblActivity[Department]=F_Dept))*(tblActivity[Area]=$B46)*tblActivity[NearMisses])</f>
        <v/>
      </c>
    </row>
    <row r="47">
      <c r="B47" t="inlineStr">
        <is>
          <t>Accommodation Camp</t>
        </is>
      </c>
      <c r="C47">
        <f>SUMPRODUCT(((F_Year="All")+(F_Year="")+(tblActivity[Year]=F_Year))*((F_Month="All")+(F_Month="")+(tblActivity[MonthName]=F_Month))*((F_Dept="All")+(F_Dept="")+(tblActivity[Department]=F_Dept))*(tblActivity[Area]=$B47)*tblActivity[NearMisses])</f>
        <v/>
      </c>
    </row>
    <row r="48">
      <c r="B48" t="inlineStr">
        <is>
          <t>Security Gatehouse</t>
        </is>
      </c>
      <c r="C48">
        <f>SUMPRODUCT(((F_Year="All")+(F_Year="")+(tblActivity[Year]=F_Year))*((F_Month="All")+(F_Month="")+(tblActivity[MonthName]=F_Month))*((F_Dept="All")+(F_Dept="")+(tblActivity[Department]=F_Dept))*(tblActivity[Area]=$B48)*tblActivity[NearMisses])</f>
        <v/>
      </c>
    </row>
  </sheetData>
  <mergeCells count="15">
    <mergeCell ref="N6:P7"/>
    <mergeCell ref="J5:L5"/>
    <mergeCell ref="B11:P11"/>
    <mergeCell ref="B5:D5"/>
    <mergeCell ref="B6:D7"/>
    <mergeCell ref="F5:H5"/>
    <mergeCell ref="F6:H7"/>
    <mergeCell ref="J6:L7"/>
    <mergeCell ref="B8:D8"/>
    <mergeCell ref="A1:P2"/>
    <mergeCell ref="F8:H8"/>
    <mergeCell ref="N5:P5"/>
    <mergeCell ref="J8:L8"/>
    <mergeCell ref="N8:P8"/>
    <mergeCell ref="A3:P3"/>
  </mergeCells>
  <conditionalFormatting sqref="J8">
    <cfRule type="expression" priority="1" dxfId="0" stopIfTrue="1">
      <formula>J6&gt;=NEARMISS_RATIO_TGT</formula>
    </cfRule>
    <cfRule type="expression" priority="2" dxfId="1" stopIfTrue="1">
      <formula>J6&gt;=NEARMISS_RATIO_TGT*0.9</formula>
    </cfRule>
    <cfRule type="expression" priority="3" dxfId="2" stopIfTrue="1">
      <formula>J6&lt;NEARMISS_RATIO_TGT*0.9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34" customWidth="1" min="3" max="3"/>
    <col width="20" customWidth="1" min="4" max="4"/>
    <col width="18" customWidth="1" min="5" max="5"/>
    <col width="11" customWidth="1" min="6" max="6"/>
    <col width="12" customWidth="1" min="7" max="7"/>
    <col width="8" customWidth="1" min="8" max="8"/>
    <col width="11" customWidth="1" min="9" max="9"/>
    <col width="18" customWidth="1" min="10" max="10"/>
    <col width="14" customWidth="1" min="11" max="11"/>
    <col width="20" customWidth="1" min="12" max="12"/>
  </cols>
  <sheetData>
    <row r="1" ht="16" customHeight="1">
      <c r="A1" s="1" t="inlineStr">
        <is>
          <t>ASANKO GOLD MINE   |   Risk Matrix (5x5) &amp; Risk Register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8" customHeight="1">
      <c r="A3" s="3" t="inlineStr">
        <is>
          <t>Health, Safety &amp; Environment Management System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5">
      <c r="B5" s="5" t="inlineStr">
        <is>
          <t>5 x 5 RISK ASSESSMENT MATRIX  (Likelihood x Consequence)</t>
        </is>
      </c>
      <c r="C5" s="6" t="n"/>
      <c r="D5" s="6" t="n"/>
      <c r="E5" s="6" t="n"/>
      <c r="F5" s="6" t="n"/>
      <c r="G5" s="6" t="n"/>
      <c r="H5" s="6" t="n"/>
    </row>
    <row r="7">
      <c r="B7" s="50" t="inlineStr">
        <is>
          <t>L  \  C</t>
        </is>
      </c>
      <c r="C7" s="25" t="inlineStr">
        <is>
          <t>1 Insignificant</t>
        </is>
      </c>
      <c r="D7" s="25" t="inlineStr">
        <is>
          <t>2 Minor</t>
        </is>
      </c>
      <c r="E7" s="25" t="inlineStr">
        <is>
          <t>3 Moderate</t>
        </is>
      </c>
      <c r="F7" s="25" t="inlineStr">
        <is>
          <t>4 Major</t>
        </is>
      </c>
      <c r="G7" s="25" t="inlineStr">
        <is>
          <t>5 Severe</t>
        </is>
      </c>
    </row>
    <row r="8">
      <c r="B8" s="25" t="inlineStr">
        <is>
          <t>5 Almost Certain</t>
        </is>
      </c>
      <c r="C8" s="51" t="n">
        <v>5</v>
      </c>
      <c r="D8" s="51" t="n">
        <v>10</v>
      </c>
      <c r="E8" s="51" t="n">
        <v>15</v>
      </c>
      <c r="F8" s="51" t="n">
        <v>20</v>
      </c>
      <c r="G8" s="51" t="n">
        <v>25</v>
      </c>
      <c r="I8" s="52" t="inlineStr">
        <is>
          <t>Low (1-4)</t>
        </is>
      </c>
    </row>
    <row r="9">
      <c r="B9" s="25" t="inlineStr">
        <is>
          <t>4 Likely</t>
        </is>
      </c>
      <c r="C9" s="51" t="n">
        <v>4</v>
      </c>
      <c r="D9" s="51" t="n">
        <v>8</v>
      </c>
      <c r="E9" s="51" t="n">
        <v>12</v>
      </c>
      <c r="F9" s="51" t="n">
        <v>16</v>
      </c>
      <c r="G9" s="51" t="n">
        <v>20</v>
      </c>
      <c r="I9" s="53" t="inlineStr">
        <is>
          <t>Medium (5-9)</t>
        </is>
      </c>
    </row>
    <row r="10">
      <c r="B10" s="25" t="inlineStr">
        <is>
          <t>3 Possible</t>
        </is>
      </c>
      <c r="C10" s="51" t="n">
        <v>3</v>
      </c>
      <c r="D10" s="51" t="n">
        <v>6</v>
      </c>
      <c r="E10" s="51" t="n">
        <v>9</v>
      </c>
      <c r="F10" s="51" t="n">
        <v>12</v>
      </c>
      <c r="G10" s="51" t="n">
        <v>15</v>
      </c>
      <c r="I10" s="54" t="inlineStr">
        <is>
          <t>High (10-15)</t>
        </is>
      </c>
    </row>
    <row r="11">
      <c r="B11" s="25" t="inlineStr">
        <is>
          <t>2 Unlikely</t>
        </is>
      </c>
      <c r="C11" s="51" t="n">
        <v>2</v>
      </c>
      <c r="D11" s="51" t="n">
        <v>4</v>
      </c>
      <c r="E11" s="51" t="n">
        <v>6</v>
      </c>
      <c r="F11" s="51" t="n">
        <v>8</v>
      </c>
      <c r="G11" s="51" t="n">
        <v>10</v>
      </c>
      <c r="I11" s="55" t="inlineStr">
        <is>
          <t>Critical (16-25)</t>
        </is>
      </c>
    </row>
    <row r="12">
      <c r="B12" s="25" t="inlineStr">
        <is>
          <t>1 Rare</t>
        </is>
      </c>
      <c r="C12" s="51" t="n">
        <v>1</v>
      </c>
      <c r="D12" s="51" t="n">
        <v>2</v>
      </c>
      <c r="E12" s="51" t="n">
        <v>3</v>
      </c>
      <c r="F12" s="51" t="n">
        <v>4</v>
      </c>
      <c r="G12" s="51" t="n">
        <v>5</v>
      </c>
    </row>
    <row r="15">
      <c r="B15" s="5" t="inlineStr">
        <is>
          <t>RISK REGISTER  (score = Likelihood x Consequence; auto-rated)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 ht="28" customHeight="1">
      <c r="B16" s="27" t="inlineStr">
        <is>
          <t>Risk_ID</t>
        </is>
      </c>
      <c r="C16" s="27" t="inlineStr">
        <is>
          <t>Description</t>
        </is>
      </c>
      <c r="D16" s="27" t="inlineStr">
        <is>
          <t>Area</t>
        </is>
      </c>
      <c r="E16" s="27" t="inlineStr">
        <is>
          <t>Category</t>
        </is>
      </c>
      <c r="F16" s="27" t="inlineStr">
        <is>
          <t>Likelihood</t>
        </is>
      </c>
      <c r="G16" s="27" t="inlineStr">
        <is>
          <t>Consequence</t>
        </is>
      </c>
      <c r="H16" s="27" t="inlineStr">
        <is>
          <t>Score</t>
        </is>
      </c>
      <c r="I16" s="27" t="inlineStr">
        <is>
          <t>Risk_Level</t>
        </is>
      </c>
      <c r="J16" s="27" t="inlineStr">
        <is>
          <t>Control_Adequacy</t>
        </is>
      </c>
      <c r="K16" s="27" t="inlineStr">
        <is>
          <t>Owner</t>
        </is>
      </c>
      <c r="L16" s="27" t="inlineStr">
        <is>
          <t>Review_Date</t>
        </is>
      </c>
    </row>
    <row r="17">
      <c r="B17" s="28" t="inlineStr">
        <is>
          <t>RR-001</t>
        </is>
      </c>
      <c r="C17" s="28" t="inlineStr">
        <is>
          <t>Pit wall slope failure</t>
        </is>
      </c>
      <c r="D17" s="28" t="inlineStr">
        <is>
          <t>Nkran Open Pit</t>
        </is>
      </c>
      <c r="E17" s="28" t="inlineStr">
        <is>
          <t>Geotechnical</t>
        </is>
      </c>
      <c r="F17" s="31" t="n">
        <v>3</v>
      </c>
      <c r="G17" s="31" t="n">
        <v>5</v>
      </c>
      <c r="H17" s="30">
        <f>[@Likelihood]*[@Consequence]</f>
        <v/>
      </c>
      <c r="I17" s="28">
        <f>IF([@Score]&gt;=16,"Critical",IF([@Score]&gt;=10,"High",IF([@Score]&gt;=5,"Medium","Low")))</f>
        <v/>
      </c>
      <c r="J17" s="28" t="inlineStr">
        <is>
          <t>Needs Improvement</t>
        </is>
      </c>
      <c r="K17" s="28" t="inlineStr">
        <is>
          <t>D. Tetteh</t>
        </is>
      </c>
      <c r="L17" s="29" t="n">
        <v>46207</v>
      </c>
    </row>
    <row r="18">
      <c r="B18" s="28" t="inlineStr">
        <is>
          <t>RR-002</t>
        </is>
      </c>
      <c r="C18" s="28" t="inlineStr">
        <is>
          <t>Haul truck / light-vehicle interaction</t>
        </is>
      </c>
      <c r="D18" s="28" t="inlineStr">
        <is>
          <t>Haul Roads</t>
        </is>
      </c>
      <c r="E18" s="28" t="inlineStr">
        <is>
          <t>Vehicle</t>
        </is>
      </c>
      <c r="F18" s="31" t="n">
        <v>4</v>
      </c>
      <c r="G18" s="31" t="n">
        <v>4</v>
      </c>
      <c r="H18" s="30">
        <f>[@Likelihood]*[@Consequence]</f>
        <v/>
      </c>
      <c r="I18" s="28">
        <f>IF([@Score]&gt;=16,"Critical",IF([@Score]&gt;=10,"High",IF([@Score]&gt;=5,"Medium","Low")))</f>
        <v/>
      </c>
      <c r="J18" s="28" t="inlineStr">
        <is>
          <t>Adequate</t>
        </is>
      </c>
      <c r="K18" s="28" t="inlineStr">
        <is>
          <t>M. Quaye</t>
        </is>
      </c>
      <c r="L18" s="29" t="n">
        <v>46260</v>
      </c>
    </row>
    <row r="19">
      <c r="B19" s="28" t="inlineStr">
        <is>
          <t>RR-003</t>
        </is>
      </c>
      <c r="C19" s="28" t="inlineStr">
        <is>
          <t>Uncontrolled blast / flyrock</t>
        </is>
      </c>
      <c r="D19" s="28" t="inlineStr">
        <is>
          <t>Drill &amp; Blast</t>
        </is>
      </c>
      <c r="E19" s="28" t="inlineStr">
        <is>
          <t>Explosives</t>
        </is>
      </c>
      <c r="F19" s="31" t="n">
        <v>2</v>
      </c>
      <c r="G19" s="31" t="n">
        <v>5</v>
      </c>
      <c r="H19" s="30">
        <f>[@Likelihood]*[@Consequence]</f>
        <v/>
      </c>
      <c r="I19" s="28">
        <f>IF([@Score]&gt;=16,"Critical",IF([@Score]&gt;=10,"High",IF([@Score]&gt;=5,"Medium","Low")))</f>
        <v/>
      </c>
      <c r="J19" s="28" t="inlineStr">
        <is>
          <t>Adequate</t>
        </is>
      </c>
      <c r="K19" s="28" t="inlineStr">
        <is>
          <t>Y. Darko</t>
        </is>
      </c>
      <c r="L19" s="29" t="n">
        <v>46264</v>
      </c>
    </row>
    <row r="20">
      <c r="B20" s="28" t="inlineStr">
        <is>
          <t>RR-004</t>
        </is>
      </c>
      <c r="C20" s="28" t="inlineStr">
        <is>
          <t>Cyanide exposure (CIL)</t>
        </is>
      </c>
      <c r="D20" s="28" t="inlineStr">
        <is>
          <t>Processing Plant (CIL)</t>
        </is>
      </c>
      <c r="E20" s="28" t="inlineStr">
        <is>
          <t>Chemical</t>
        </is>
      </c>
      <c r="F20" s="31" t="n">
        <v>2</v>
      </c>
      <c r="G20" s="31" t="n">
        <v>5</v>
      </c>
      <c r="H20" s="30">
        <f>[@Likelihood]*[@Consequence]</f>
        <v/>
      </c>
      <c r="I20" s="28">
        <f>IF([@Score]&gt;=16,"Critical",IF([@Score]&gt;=10,"High",IF([@Score]&gt;=5,"Medium","Low")))</f>
        <v/>
      </c>
      <c r="J20" s="28" t="inlineStr">
        <is>
          <t>Adequate</t>
        </is>
      </c>
      <c r="K20" s="28" t="inlineStr">
        <is>
          <t>Y. Darko</t>
        </is>
      </c>
      <c r="L20" s="29" t="n">
        <v>46257</v>
      </c>
    </row>
    <row r="21">
      <c r="B21" s="28" t="inlineStr">
        <is>
          <t>RR-005</t>
        </is>
      </c>
      <c r="C21" s="28" t="inlineStr">
        <is>
          <t>Tailings dam overtopping / breach</t>
        </is>
      </c>
      <c r="D21" s="28" t="inlineStr">
        <is>
          <t>Tailings Storage Facility</t>
        </is>
      </c>
      <c r="E21" s="28" t="inlineStr">
        <is>
          <t>Environmental</t>
        </is>
      </c>
      <c r="F21" s="31" t="n">
        <v>2</v>
      </c>
      <c r="G21" s="31" t="n">
        <v>5</v>
      </c>
      <c r="H21" s="30">
        <f>[@Likelihood]*[@Consequence]</f>
        <v/>
      </c>
      <c r="I21" s="28">
        <f>IF([@Score]&gt;=16,"Critical",IF([@Score]&gt;=10,"High",IF([@Score]&gt;=5,"Medium","Low")))</f>
        <v/>
      </c>
      <c r="J21" s="28" t="inlineStr">
        <is>
          <t>Needs Improvement</t>
        </is>
      </c>
      <c r="K21" s="28" t="inlineStr">
        <is>
          <t>E. Asante</t>
        </is>
      </c>
      <c r="L21" s="29" t="n">
        <v>46252</v>
      </c>
    </row>
    <row r="22">
      <c r="B22" s="28" t="inlineStr">
        <is>
          <t>RR-006</t>
        </is>
      </c>
      <c r="C22" s="28" t="inlineStr">
        <is>
          <t>Fall from height on plant structures</t>
        </is>
      </c>
      <c r="D22" s="28" t="inlineStr">
        <is>
          <t>Crushing Circuit</t>
        </is>
      </c>
      <c r="E22" s="28" t="inlineStr">
        <is>
          <t>Personal Injury</t>
        </is>
      </c>
      <c r="F22" s="31" t="n">
        <v>3</v>
      </c>
      <c r="G22" s="31" t="n">
        <v>4</v>
      </c>
      <c r="H22" s="30">
        <f>[@Likelihood]*[@Consequence]</f>
        <v/>
      </c>
      <c r="I22" s="28">
        <f>IF([@Score]&gt;=16,"Critical",IF([@Score]&gt;=10,"High",IF([@Score]&gt;=5,"Medium","Low")))</f>
        <v/>
      </c>
      <c r="J22" s="28" t="inlineStr">
        <is>
          <t>Adequate</t>
        </is>
      </c>
      <c r="K22" s="28" t="inlineStr">
        <is>
          <t>J. Boateng</t>
        </is>
      </c>
      <c r="L22" s="29" t="n">
        <v>46193</v>
      </c>
    </row>
    <row r="23">
      <c r="B23" s="28" t="inlineStr">
        <is>
          <t>RR-007</t>
        </is>
      </c>
      <c r="C23" s="28" t="inlineStr">
        <is>
          <t>Fuel / diesel spill to ground</t>
        </is>
      </c>
      <c r="D23" s="28" t="inlineStr">
        <is>
          <t>Fuel Farm</t>
        </is>
      </c>
      <c r="E23" s="28" t="inlineStr">
        <is>
          <t>Environmental</t>
        </is>
      </c>
      <c r="F23" s="31" t="n">
        <v>3</v>
      </c>
      <c r="G23" s="31" t="n">
        <v>3</v>
      </c>
      <c r="H23" s="30">
        <f>[@Likelihood]*[@Consequence]</f>
        <v/>
      </c>
      <c r="I23" s="28">
        <f>IF([@Score]&gt;=16,"Critical",IF([@Score]&gt;=10,"High",IF([@Score]&gt;=5,"Medium","Low")))</f>
        <v/>
      </c>
      <c r="J23" s="28" t="inlineStr">
        <is>
          <t>Adequate</t>
        </is>
      </c>
      <c r="K23" s="28" t="inlineStr">
        <is>
          <t>M. Quaye</t>
        </is>
      </c>
      <c r="L23" s="29" t="n">
        <v>46197</v>
      </c>
    </row>
    <row r="24">
      <c r="B24" s="28" t="inlineStr">
        <is>
          <t>RR-008</t>
        </is>
      </c>
      <c r="C24" s="28" t="inlineStr">
        <is>
          <t>Confined space entry (tanks)</t>
        </is>
      </c>
      <c r="D24" s="28" t="inlineStr">
        <is>
          <t>Elution &amp; Gold Room</t>
        </is>
      </c>
      <c r="E24" s="28" t="inlineStr">
        <is>
          <t>Personal Injury</t>
        </is>
      </c>
      <c r="F24" s="31" t="n">
        <v>2</v>
      </c>
      <c r="G24" s="31" t="n">
        <v>4</v>
      </c>
      <c r="H24" s="30">
        <f>[@Likelihood]*[@Consequence]</f>
        <v/>
      </c>
      <c r="I24" s="28">
        <f>IF([@Score]&gt;=16,"Critical",IF([@Score]&gt;=10,"High",IF([@Score]&gt;=5,"Medium","Low")))</f>
        <v/>
      </c>
      <c r="J24" s="28" t="inlineStr">
        <is>
          <t>Needs Improvement</t>
        </is>
      </c>
      <c r="K24" s="28" t="inlineStr">
        <is>
          <t>D. Tetteh</t>
        </is>
      </c>
      <c r="L24" s="29" t="n">
        <v>46224</v>
      </c>
    </row>
    <row r="25">
      <c r="B25" s="28" t="inlineStr">
        <is>
          <t>RR-009</t>
        </is>
      </c>
      <c r="C25" s="28" t="inlineStr">
        <is>
          <t>Electrical arc flash</t>
        </is>
      </c>
      <c r="D25" s="28" t="inlineStr">
        <is>
          <t>Power Station</t>
        </is>
      </c>
      <c r="E25" s="28" t="inlineStr">
        <is>
          <t>Electrical</t>
        </is>
      </c>
      <c r="F25" s="31" t="n">
        <v>2</v>
      </c>
      <c r="G25" s="31" t="n">
        <v>4</v>
      </c>
      <c r="H25" s="30">
        <f>[@Likelihood]*[@Consequence]</f>
        <v/>
      </c>
      <c r="I25" s="28">
        <f>IF([@Score]&gt;=16,"Critical",IF([@Score]&gt;=10,"High",IF([@Score]&gt;=5,"Medium","Low")))</f>
        <v/>
      </c>
      <c r="J25" s="28" t="inlineStr">
        <is>
          <t>Adequate</t>
        </is>
      </c>
      <c r="K25" s="28" t="inlineStr">
        <is>
          <t>Y. Darko</t>
        </is>
      </c>
      <c r="L25" s="29" t="n">
        <v>46211</v>
      </c>
    </row>
    <row r="26">
      <c r="B26" s="28" t="inlineStr">
        <is>
          <t>RR-010</t>
        </is>
      </c>
      <c r="C26" s="28" t="inlineStr">
        <is>
          <t>Heat stress / fatigue</t>
        </is>
      </c>
      <c r="D26" s="28" t="inlineStr">
        <is>
          <t>Open Pit operations</t>
        </is>
      </c>
      <c r="E26" s="28" t="inlineStr">
        <is>
          <t>Occupational Health</t>
        </is>
      </c>
      <c r="F26" s="31" t="n">
        <v>4</v>
      </c>
      <c r="G26" s="31" t="n">
        <v>3</v>
      </c>
      <c r="H26" s="30">
        <f>[@Likelihood]*[@Consequence]</f>
        <v/>
      </c>
      <c r="I26" s="28">
        <f>IF([@Score]&gt;=16,"Critical",IF([@Score]&gt;=10,"High",IF([@Score]&gt;=5,"Medium","Low")))</f>
        <v/>
      </c>
      <c r="J26" s="28" t="inlineStr">
        <is>
          <t>Inadequate</t>
        </is>
      </c>
      <c r="K26" s="28" t="inlineStr">
        <is>
          <t>S. Addo</t>
        </is>
      </c>
      <c r="L26" s="29" t="n">
        <v>46200</v>
      </c>
    </row>
    <row r="27">
      <c r="B27" s="28" t="inlineStr">
        <is>
          <t>RR-011</t>
        </is>
      </c>
      <c r="C27" s="28" t="inlineStr">
        <is>
          <t>Malaria / community health</t>
        </is>
      </c>
      <c r="D27" s="28" t="inlineStr">
        <is>
          <t>Accommodation Camp</t>
        </is>
      </c>
      <c r="E27" s="28" t="inlineStr">
        <is>
          <t>Occupational Health</t>
        </is>
      </c>
      <c r="F27" s="31" t="n">
        <v>4</v>
      </c>
      <c r="G27" s="31" t="n">
        <v>3</v>
      </c>
      <c r="H27" s="30">
        <f>[@Likelihood]*[@Consequence]</f>
        <v/>
      </c>
      <c r="I27" s="28">
        <f>IF([@Score]&gt;=16,"Critical",IF([@Score]&gt;=10,"High",IF([@Score]&gt;=5,"Medium","Low")))</f>
        <v/>
      </c>
      <c r="J27" s="28" t="inlineStr">
        <is>
          <t>Adequate</t>
        </is>
      </c>
      <c r="K27" s="28" t="inlineStr">
        <is>
          <t>A. Owusu</t>
        </is>
      </c>
      <c r="L27" s="29" t="n">
        <v>46237</v>
      </c>
    </row>
    <row r="28">
      <c r="B28" s="28" t="inlineStr">
        <is>
          <t>RR-012</t>
        </is>
      </c>
      <c r="C28" s="28" t="inlineStr">
        <is>
          <t>Radiation source (density gauge)</t>
        </is>
      </c>
      <c r="D28" s="28" t="inlineStr">
        <is>
          <t>Processing Plant (CIL)</t>
        </is>
      </c>
      <c r="E28" s="28" t="inlineStr">
        <is>
          <t>Radiation</t>
        </is>
      </c>
      <c r="F28" s="31" t="n">
        <v>1</v>
      </c>
      <c r="G28" s="31" t="n">
        <v>4</v>
      </c>
      <c r="H28" s="30">
        <f>[@Likelihood]*[@Consequence]</f>
        <v/>
      </c>
      <c r="I28" s="28">
        <f>IF([@Score]&gt;=16,"Critical",IF([@Score]&gt;=10,"High",IF([@Score]&gt;=5,"Medium","Low")))</f>
        <v/>
      </c>
      <c r="J28" s="28" t="inlineStr">
        <is>
          <t>Adequate</t>
        </is>
      </c>
      <c r="K28" s="28" t="inlineStr">
        <is>
          <t>E. Asante</t>
        </is>
      </c>
      <c r="L28" s="29" t="n">
        <v>46284</v>
      </c>
    </row>
    <row r="29">
      <c r="B29" s="28" t="inlineStr">
        <is>
          <t>RR-013</t>
        </is>
      </c>
      <c r="C29" s="28" t="inlineStr">
        <is>
          <t>Mobile crusher entanglement</t>
        </is>
      </c>
      <c r="D29" s="28" t="inlineStr">
        <is>
          <t>Crushing Circuit</t>
        </is>
      </c>
      <c r="E29" s="28" t="inlineStr">
        <is>
          <t>Mechanical</t>
        </is>
      </c>
      <c r="F29" s="31" t="n">
        <v>2</v>
      </c>
      <c r="G29" s="31" t="n">
        <v>4</v>
      </c>
      <c r="H29" s="30">
        <f>[@Likelihood]*[@Consequence]</f>
        <v/>
      </c>
      <c r="I29" s="28">
        <f>IF([@Score]&gt;=16,"Critical",IF([@Score]&gt;=10,"High",IF([@Score]&gt;=5,"Medium","Low")))</f>
        <v/>
      </c>
      <c r="J29" s="28" t="inlineStr">
        <is>
          <t>Adequate</t>
        </is>
      </c>
      <c r="K29" s="28" t="inlineStr">
        <is>
          <t>P. Annan</t>
        </is>
      </c>
      <c r="L29" s="29" t="n">
        <v>46259</v>
      </c>
    </row>
    <row r="30">
      <c r="B30" s="28" t="inlineStr">
        <is>
          <t>RR-014</t>
        </is>
      </c>
      <c r="C30" s="28" t="inlineStr">
        <is>
          <t>Security / illegal mining incursion</t>
        </is>
      </c>
      <c r="D30" s="28" t="inlineStr">
        <is>
          <t>Security Gatehouse</t>
        </is>
      </c>
      <c r="E30" s="28" t="inlineStr">
        <is>
          <t>Security</t>
        </is>
      </c>
      <c r="F30" s="31" t="n">
        <v>3</v>
      </c>
      <c r="G30" s="31" t="n">
        <v>3</v>
      </c>
      <c r="H30" s="30">
        <f>[@Likelihood]*[@Consequence]</f>
        <v/>
      </c>
      <c r="I30" s="28">
        <f>IF([@Score]&gt;=16,"Critical",IF([@Score]&gt;=10,"High",IF([@Score]&gt;=5,"Medium","Low")))</f>
        <v/>
      </c>
      <c r="J30" s="28" t="inlineStr">
        <is>
          <t>Needs Improvement</t>
        </is>
      </c>
      <c r="K30" s="28" t="inlineStr">
        <is>
          <t>K. Mensah</t>
        </is>
      </c>
      <c r="L30" s="29" t="n">
        <v>46272</v>
      </c>
    </row>
  </sheetData>
  <mergeCells count="4">
    <mergeCell ref="A1:N2"/>
    <mergeCell ref="B5:H5"/>
    <mergeCell ref="A3:N3"/>
    <mergeCell ref="B15:M15"/>
  </mergeCells>
  <conditionalFormatting sqref="C8:G12">
    <cfRule type="cellIs" priority="1" operator="between" dxfId="7">
      <formula>1</formula>
      <formula>4</formula>
    </cfRule>
    <cfRule type="cellIs" priority="2" operator="between" dxfId="8">
      <formula>5</formula>
      <formula>9</formula>
    </cfRule>
    <cfRule type="cellIs" priority="3" operator="between" dxfId="9">
      <formula>10</formula>
      <formula>15</formula>
    </cfRule>
    <cfRule type="cellIs" priority="4" operator="between" dxfId="10">
      <formula>16</formula>
      <formula>25</formula>
    </cfRule>
  </conditionalFormatting>
  <conditionalFormatting sqref="H17:H130">
    <cfRule type="cellIs" priority="5" operator="between" dxfId="11">
      <formula>1</formula>
      <formula>4</formula>
    </cfRule>
    <cfRule type="cellIs" priority="6" operator="between" dxfId="12">
      <formula>5</formula>
      <formula>9</formula>
    </cfRule>
    <cfRule type="cellIs" priority="7" operator="between" dxfId="13">
      <formula>10</formula>
      <formula>15</formula>
    </cfRule>
    <cfRule type="cellIs" priority="8" operator="between" dxfId="14">
      <formula>16</formula>
      <formula>25</formula>
    </cfRule>
  </conditionalFormatting>
  <conditionalFormatting sqref="I17:I200">
    <cfRule type="cellIs" priority="9" operator="equal" dxfId="6">
      <formula>"Low"</formula>
    </cfRule>
    <cfRule type="cellIs" priority="10" operator="equal" dxfId="4">
      <formula>"Medium"</formula>
    </cfRule>
    <cfRule type="cellIs" priority="11" operator="equal" dxfId="15">
      <formula>"High"</formula>
    </cfRule>
    <cfRule type="cellIs" priority="12" operator="equal" dxfId="16">
      <formula>"Critical"</formula>
    </cfRule>
  </conditionalFormatting>
  <conditionalFormatting sqref="J17:J200">
    <cfRule type="cellIs" priority="13" operator="equal" dxfId="6">
      <formula>"Adequate"</formula>
    </cfRule>
    <cfRule type="cellIs" priority="14" operator="equal" dxfId="4">
      <formula>"Needs Improvement"</formula>
    </cfRule>
    <cfRule type="cellIs" priority="15" operator="equal" dxfId="3">
      <formula>"Inadequate"</formula>
    </cfRule>
  </conditionalFormatting>
  <dataValidations count="3">
    <dataValidation sqref="F17:F200" showDropDown="0" showInputMessage="0" showErrorMessage="0" allowBlank="1" type="list">
      <formula1>Lists!$F$8:$F$12</formula1>
    </dataValidation>
    <dataValidation sqref="G17:G200" showDropDown="0" showInputMessage="0" showErrorMessage="0" allowBlank="1" type="list">
      <formula1>Lists!$F$8:$F$12</formula1>
    </dataValidation>
    <dataValidation sqref="J17:J200" showDropDown="0" showInputMessage="0" showErrorMessage="0" allowBlank="1" type="list">
      <formula1>Lists!$L$8:$L$10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16" customHeight="1">
      <c r="A1" s="1" t="inlineStr">
        <is>
          <t>ASANKO GOLD MINE   |   Inspections -- Completion, Score &amp; Target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18" customHeight="1">
      <c r="A3" s="3" t="inlineStr">
        <is>
          <t>Health, Safety &amp; Environment Management System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5">
      <c r="B5" s="16" t="inlineStr">
        <is>
          <t>INSPECTION SCORE</t>
        </is>
      </c>
      <c r="C5" s="14" t="n"/>
      <c r="D5" s="15" t="n"/>
      <c r="F5" s="16" t="inlineStr">
        <is>
          <t>COMPLETION RATE</t>
        </is>
      </c>
      <c r="G5" s="14" t="n"/>
      <c r="H5" s="15" t="n"/>
      <c r="J5" s="13" t="inlineStr">
        <is>
          <t>INSPECTIONS DONE</t>
        </is>
      </c>
      <c r="K5" s="14" t="n"/>
      <c r="L5" s="15" t="n"/>
      <c r="N5" s="13" t="inlineStr">
        <is>
          <t>INSPECTIONS PLANNED</t>
        </is>
      </c>
      <c r="O5" s="14" t="n"/>
      <c r="P5" s="15" t="n"/>
    </row>
    <row r="6">
      <c r="B6" s="26">
        <f>IFERROR(SUMPRODUCT(((F_Year="All")+(F_Year="")+(tblActivity[Year]=F_Year))*((F_Month="All")+(F_Month="")+(tblActivity[MonthName]=F_Month))*((F_Dept="All")+(F_Dept="")+(tblActivity[Department]=F_Dept))*((F_Loc="All")+(F_Loc="")+(tblActivity[Area]=F_Loc))*tblActivity[InspDone]*tblActivity[InspScore])/SUMPRODUCT(((F_Year="All")+(F_Year="")+(tblActivity[Year]=F_Year))*((F_Month="All")+(F_Month="")+(tblActivity[MonthName]=F_Month))*((F_Dept="All")+(F_Dept="")+(tblActivity[Department]=F_Dept))*((F_Loc="All")+(F_Loc="")+(tblActivity[Area]=F_Loc))*tblActivity[InspDone]),0)</f>
        <v/>
      </c>
      <c r="C6" s="18" t="n"/>
      <c r="D6" s="19" t="n"/>
      <c r="F6" s="26">
        <f>IFERROR(SUMPRODUCT(((F_Year="All")+(F_Year="")+(tblActivity[Year]=F_Year))*((F_Month="All")+(F_Month="")+(tblActivity[MonthName]=F_Month))*((F_Dept="All")+(F_Dept="")+(tblActivity[Department]=F_Dept))*((F_Loc="All")+(F_Loc="")+(tblActivity[Area]=F_Loc))*tblActivity[InspDone])/SUMPRODUCT(((F_Year="All")+(F_Year="")+(tblActivity[Year]=F_Year))*((F_Month="All")+(F_Month="")+(tblActivity[MonthName]=F_Month))*((F_Dept="All")+(F_Dept="")+(tblActivity[Department]=F_Dept))*((F_Loc="All")+(F_Loc="")+(tblActivity[Area]=F_Loc))*tblActivity[InspPlanned]),0)</f>
        <v/>
      </c>
      <c r="G6" s="18" t="n"/>
      <c r="H6" s="19" t="n"/>
      <c r="J6" s="17">
        <f>SUMPRODUCT(((F_Year="All")+(F_Year="")+(tblActivity[Year]=F_Year))*((F_Month="All")+(F_Month="")+(tblActivity[MonthName]=F_Month))*((F_Dept="All")+(F_Dept="")+(tblActivity[Department]=F_Dept))*((F_Loc="All")+(F_Loc="")+(tblActivity[Area]=F_Loc))*tblActivity[InspDone])</f>
        <v/>
      </c>
      <c r="K6" s="18" t="n"/>
      <c r="L6" s="19" t="n"/>
      <c r="N6" s="17">
        <f>SUMPRODUCT(((F_Year="All")+(F_Year="")+(tblActivity[Year]=F_Year))*((F_Month="All")+(F_Month="")+(tblActivity[MonthName]=F_Month))*((F_Dept="All")+(F_Dept="")+(tblActivity[Department]=F_Dept))*((F_Loc="All")+(F_Loc="")+(tblActivity[Area]=F_Loc))*tblActivity[InspPlanned])</f>
        <v/>
      </c>
      <c r="O6" s="18" t="n"/>
      <c r="P6" s="19" t="n"/>
    </row>
    <row r="7">
      <c r="B7" s="22" t="n"/>
      <c r="C7" s="23" t="n"/>
      <c r="D7" s="24" t="n"/>
      <c r="F7" s="22" t="n"/>
      <c r="G7" s="23" t="n"/>
      <c r="H7" s="24" t="n"/>
      <c r="J7" s="22" t="n"/>
      <c r="K7" s="23" t="n"/>
      <c r="L7" s="24" t="n"/>
      <c r="N7" s="22" t="n"/>
      <c r="O7" s="23" t="n"/>
      <c r="P7" s="24" t="n"/>
    </row>
    <row r="8">
      <c r="B8" s="25">
        <f>IF(B6&gt;=TARGET_INSPECTION,"ON TARGET","BELOW TARGET")</f>
        <v/>
      </c>
      <c r="C8" s="14" t="n"/>
      <c r="D8" s="15" t="n"/>
      <c r="F8" s="25">
        <f>IF(F6&gt;=0.95,"ON TARGET","BEHIND")</f>
        <v/>
      </c>
      <c r="G8" s="14" t="n"/>
      <c r="H8" s="15" t="n"/>
      <c r="J8" s="48" t="n"/>
      <c r="K8" s="14" t="n"/>
      <c r="L8" s="15" t="n"/>
      <c r="N8" s="48" t="n"/>
      <c r="O8" s="14" t="n"/>
      <c r="P8" s="15" t="n"/>
    </row>
    <row r="11">
      <c r="B11" s="5" t="inlineStr">
        <is>
          <t>TREND vs TARGET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</sheetData>
  <mergeCells count="15">
    <mergeCell ref="N6:P7"/>
    <mergeCell ref="J5:L5"/>
    <mergeCell ref="B11:P11"/>
    <mergeCell ref="B5:D5"/>
    <mergeCell ref="B6:D7"/>
    <mergeCell ref="F5:H5"/>
    <mergeCell ref="F6:H7"/>
    <mergeCell ref="J6:L7"/>
    <mergeCell ref="B8:D8"/>
    <mergeCell ref="A1:P2"/>
    <mergeCell ref="F8:H8"/>
    <mergeCell ref="N5:P5"/>
    <mergeCell ref="J8:L8"/>
    <mergeCell ref="N8:P8"/>
    <mergeCell ref="A3:P3"/>
  </mergeCells>
  <conditionalFormatting sqref="B8">
    <cfRule type="expression" priority="1" dxfId="0" stopIfTrue="1">
      <formula>B6&gt;=TARGET_INSPECTION</formula>
    </cfRule>
    <cfRule type="expression" priority="2" dxfId="1" stopIfTrue="1">
      <formula>B6&gt;=TARGET_INSPECTION*0.9</formula>
    </cfRule>
    <cfRule type="expression" priority="3" dxfId="2" stopIfTrue="1">
      <formula>B6&lt;TARGET_INSPECTION*0.9</formula>
    </cfRule>
  </conditionalFormatting>
  <conditionalFormatting sqref="F8">
    <cfRule type="expression" priority="4" dxfId="0" stopIfTrue="1">
      <formula>F6&gt;=TARGET_INSPECTION</formula>
    </cfRule>
    <cfRule type="expression" priority="5" dxfId="1" stopIfTrue="1">
      <formula>F6&gt;=TARGET_INSPECTION*0.9</formula>
    </cfRule>
    <cfRule type="expression" priority="6" dxfId="2" stopIfTrue="1">
      <formula>F6&lt;TARGET_INSPECTION*0.9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16" customHeight="1">
      <c r="A1" s="1" t="inlineStr">
        <is>
          <t>ASANKO GOLD MINE   |   Training Compliance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18" customHeight="1">
      <c r="A3" s="3" t="inlineStr">
        <is>
          <t>Health, Safety &amp; Environment Management System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5">
      <c r="B5" s="16" t="inlineStr">
        <is>
          <t>TRAINING COMPLETION</t>
        </is>
      </c>
      <c r="C5" s="14" t="n"/>
      <c r="D5" s="15" t="n"/>
      <c r="F5" s="13" t="inlineStr">
        <is>
          <t>COMPLETED</t>
        </is>
      </c>
      <c r="G5" s="14" t="n"/>
      <c r="H5" s="15" t="n"/>
      <c r="J5" s="13" t="inlineStr">
        <is>
          <t>ASSIGNED</t>
        </is>
      </c>
      <c r="K5" s="14" t="n"/>
      <c r="L5" s="15" t="n"/>
      <c r="N5" s="13" t="inlineStr">
        <is>
          <t>OUTSTANDING</t>
        </is>
      </c>
      <c r="O5" s="14" t="n"/>
      <c r="P5" s="15" t="n"/>
    </row>
    <row r="6">
      <c r="B6" s="26">
        <f>IFERROR(SUMPRODUCT(((F_Year="All")+(F_Year="")+(tblActivity[Year]=F_Year))*((F_Month="All")+(F_Month="")+(tblActivity[MonthName]=F_Month))*((F_Dept="All")+(F_Dept="")+(tblActivity[Department]=F_Dept))*((F_Loc="All")+(F_Loc="")+(tblActivity[Area]=F_Loc))*tblActivity[TrainCompleted])/SUMPRODUCT(((F_Year="All")+(F_Year="")+(tblActivity[Year]=F_Year))*((F_Month="All")+(F_Month="")+(tblActivity[MonthName]=F_Month))*((F_Dept="All")+(F_Dept="")+(tblActivity[Department]=F_Dept))*((F_Loc="All")+(F_Loc="")+(tblActivity[Area]=F_Loc))*tblActivity[TrainAssigned]),0)</f>
        <v/>
      </c>
      <c r="C6" s="18" t="n"/>
      <c r="D6" s="19" t="n"/>
      <c r="F6" s="17">
        <f>SUMPRODUCT(((F_Year="All")+(F_Year="")+(tblActivity[Year]=F_Year))*((F_Month="All")+(F_Month="")+(tblActivity[MonthName]=F_Month))*((F_Dept="All")+(F_Dept="")+(tblActivity[Department]=F_Dept))*((F_Loc="All")+(F_Loc="")+(tblActivity[Area]=F_Loc))*tblActivity[TrainCompleted])</f>
        <v/>
      </c>
      <c r="G6" s="18" t="n"/>
      <c r="H6" s="19" t="n"/>
      <c r="J6" s="17">
        <f>SUMPRODUCT(((F_Year="All")+(F_Year="")+(tblActivity[Year]=F_Year))*((F_Month="All")+(F_Month="")+(tblActivity[MonthName]=F_Month))*((F_Dept="All")+(F_Dept="")+(tblActivity[Department]=F_Dept))*((F_Loc="All")+(F_Loc="")+(tblActivity[Area]=F_Loc))*tblActivity[TrainAssigned])</f>
        <v/>
      </c>
      <c r="K6" s="18" t="n"/>
      <c r="L6" s="19" t="n"/>
      <c r="N6" s="17">
        <f>SUMPRODUCT(((F_Year="All")+(F_Year="")+(tblActivity[Year]=F_Year))*((F_Month="All")+(F_Month="")+(tblActivity[MonthName]=F_Month))*((F_Dept="All")+(F_Dept="")+(tblActivity[Department]=F_Dept))*((F_Loc="All")+(F_Loc="")+(tblActivity[Area]=F_Loc))*tblActivity[TrainAssigned])-SUMPRODUCT(((F_Year="All")+(F_Year="")+(tblActivity[Year]=F_Year))*((F_Month="All")+(F_Month="")+(tblActivity[MonthName]=F_Month))*((F_Dept="All")+(F_Dept="")+(tblActivity[Department]=F_Dept))*((F_Loc="All")+(F_Loc="")+(tblActivity[Area]=F_Loc))*tblActivity[TrainCompleted])</f>
        <v/>
      </c>
      <c r="O6" s="18" t="n"/>
      <c r="P6" s="19" t="n"/>
    </row>
    <row r="7">
      <c r="B7" s="22" t="n"/>
      <c r="C7" s="23" t="n"/>
      <c r="D7" s="24" t="n"/>
      <c r="F7" s="22" t="n"/>
      <c r="G7" s="23" t="n"/>
      <c r="H7" s="24" t="n"/>
      <c r="J7" s="22" t="n"/>
      <c r="K7" s="23" t="n"/>
      <c r="L7" s="24" t="n"/>
      <c r="N7" s="22" t="n"/>
      <c r="O7" s="23" t="n"/>
      <c r="P7" s="24" t="n"/>
    </row>
    <row r="8">
      <c r="B8" s="25">
        <f>IF(B6&gt;=TARGET_TRAINING,"ON TARGET","BELOW TARGET")</f>
        <v/>
      </c>
      <c r="C8" s="14" t="n"/>
      <c r="D8" s="15" t="n"/>
      <c r="F8" s="48" t="n"/>
      <c r="G8" s="14" t="n"/>
      <c r="H8" s="15" t="n"/>
      <c r="J8" s="48" t="n"/>
      <c r="K8" s="14" t="n"/>
      <c r="L8" s="15" t="n"/>
      <c r="N8" s="48" t="n"/>
      <c r="O8" s="14" t="n"/>
      <c r="P8" s="15" t="n"/>
    </row>
    <row r="11">
      <c r="B11" s="5" t="inlineStr">
        <is>
          <t>COMPLIANCE BY DEPARTMENT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3">
      <c r="B13" s="41" t="inlineStr">
        <is>
          <t>Department</t>
        </is>
      </c>
      <c r="C13" s="41" t="inlineStr">
        <is>
          <t>Completion %</t>
        </is>
      </c>
      <c r="D13" s="41" t="inlineStr">
        <is>
          <t>Target</t>
        </is>
      </c>
    </row>
    <row r="14">
      <c r="B14" t="inlineStr">
        <is>
          <t>Administration</t>
        </is>
      </c>
      <c r="C14" s="56">
        <f>IFERROR(SUMPRODUCT(((F_Year="All")+(F_Year="")+(tblActivity[Year]=F_Year))*((F_Month="All")+(F_Month="")+(tblActivity[MonthName]=F_Month))*(tblActivity[Department]=$B14)*tblActivity[TrainCompleted])/SUMPRODUCT(((F_Year="All")+(F_Year="")+(tblActivity[Year]=F_Year))*((F_Month="All")+(F_Month="")+(tblActivity[MonthName]=F_Month))*(tblActivity[Department]=$B14)*tblActivity[TrainAssigned]),0)</f>
        <v/>
      </c>
      <c r="D14" s="56">
        <f>TARGET_TRAINING</f>
        <v/>
      </c>
    </row>
    <row r="15">
      <c r="B15" t="inlineStr">
        <is>
          <t>Engineering</t>
        </is>
      </c>
      <c r="C15" s="56">
        <f>IFERROR(SUMPRODUCT(((F_Year="All")+(F_Year="")+(tblActivity[Year]=F_Year))*((F_Month="All")+(F_Month="")+(tblActivity[MonthName]=F_Month))*(tblActivity[Department]=$B15)*tblActivity[TrainCompleted])/SUMPRODUCT(((F_Year="All")+(F_Year="")+(tblActivity[Year]=F_Year))*((F_Month="All")+(F_Month="")+(tblActivity[MonthName]=F_Month))*(tblActivity[Department]=$B15)*tblActivity[TrainAssigned]),0)</f>
        <v/>
      </c>
      <c r="D15" s="56">
        <f>TARGET_TRAINING</f>
        <v/>
      </c>
    </row>
    <row r="16">
      <c r="B16" t="inlineStr">
        <is>
          <t>Environment</t>
        </is>
      </c>
      <c r="C16" s="56">
        <f>IFERROR(SUMPRODUCT(((F_Year="All")+(F_Year="")+(tblActivity[Year]=F_Year))*((F_Month="All")+(F_Month="")+(tblActivity[MonthName]=F_Month))*(tblActivity[Department]=$B16)*tblActivity[TrainCompleted])/SUMPRODUCT(((F_Year="All")+(F_Year="")+(tblActivity[Year]=F_Year))*((F_Month="All")+(F_Month="")+(tblActivity[MonthName]=F_Month))*(tblActivity[Department]=$B16)*tblActivity[TrainAssigned]),0)</f>
        <v/>
      </c>
      <c r="D16" s="56">
        <f>TARGET_TRAINING</f>
        <v/>
      </c>
    </row>
    <row r="17">
      <c r="B17" t="inlineStr">
        <is>
          <t>Laboratory</t>
        </is>
      </c>
      <c r="C17" s="56">
        <f>IFERROR(SUMPRODUCT(((F_Year="All")+(F_Year="")+(tblActivity[Year]=F_Year))*((F_Month="All")+(F_Month="")+(tblActivity[MonthName]=F_Month))*(tblActivity[Department]=$B17)*tblActivity[TrainCompleted])/SUMPRODUCT(((F_Year="All")+(F_Year="")+(tblActivity[Year]=F_Year))*((F_Month="All")+(F_Month="")+(tblActivity[MonthName]=F_Month))*(tblActivity[Department]=$B17)*tblActivity[TrainAssigned]),0)</f>
        <v/>
      </c>
      <c r="D17" s="56">
        <f>TARGET_TRAINING</f>
        <v/>
      </c>
    </row>
    <row r="18">
      <c r="B18" t="inlineStr">
        <is>
          <t>Logistics</t>
        </is>
      </c>
      <c r="C18" s="56">
        <f>IFERROR(SUMPRODUCT(((F_Year="All")+(F_Year="")+(tblActivity[Year]=F_Year))*((F_Month="All")+(F_Month="")+(tblActivity[MonthName]=F_Month))*(tblActivity[Department]=$B18)*tblActivity[TrainCompleted])/SUMPRODUCT(((F_Year="All")+(F_Year="")+(tblActivity[Year]=F_Year))*((F_Month="All")+(F_Month="")+(tblActivity[MonthName]=F_Month))*(tblActivity[Department]=$B18)*tblActivity[TrainAssigned]),0)</f>
        <v/>
      </c>
      <c r="D18" s="56">
        <f>TARGET_TRAINING</f>
        <v/>
      </c>
    </row>
    <row r="19">
      <c r="B19" t="inlineStr">
        <is>
          <t>Mining</t>
        </is>
      </c>
      <c r="C19" s="56">
        <f>IFERROR(SUMPRODUCT(((F_Year="All")+(F_Year="")+(tblActivity[Year]=F_Year))*((F_Month="All")+(F_Month="")+(tblActivity[MonthName]=F_Month))*(tblActivity[Department]=$B19)*tblActivity[TrainCompleted])/SUMPRODUCT(((F_Year="All")+(F_Year="")+(tblActivity[Year]=F_Year))*((F_Month="All")+(F_Month="")+(tblActivity[MonthName]=F_Month))*(tblActivity[Department]=$B19)*tblActivity[TrainAssigned]),0)</f>
        <v/>
      </c>
      <c r="D19" s="56">
        <f>TARGET_TRAINING</f>
        <v/>
      </c>
    </row>
    <row r="20">
      <c r="B20" t="inlineStr">
        <is>
          <t>Processing</t>
        </is>
      </c>
      <c r="C20" s="56">
        <f>IFERROR(SUMPRODUCT(((F_Year="All")+(F_Year="")+(tblActivity[Year]=F_Year))*((F_Month="All")+(F_Month="")+(tblActivity[MonthName]=F_Month))*(tblActivity[Department]=$B20)*tblActivity[TrainCompleted])/SUMPRODUCT(((F_Year="All")+(F_Year="")+(tblActivity[Year]=F_Year))*((F_Month="All")+(F_Month="")+(tblActivity[MonthName]=F_Month))*(tblActivity[Department]=$B20)*tblActivity[TrainAssigned]),0)</f>
        <v/>
      </c>
      <c r="D20" s="56">
        <f>TARGET_TRAINING</f>
        <v/>
      </c>
    </row>
    <row r="21">
      <c r="B21" t="inlineStr">
        <is>
          <t>Security</t>
        </is>
      </c>
      <c r="C21" s="56">
        <f>IFERROR(SUMPRODUCT(((F_Year="All")+(F_Year="")+(tblActivity[Year]=F_Year))*((F_Month="All")+(F_Month="")+(tblActivity[MonthName]=F_Month))*(tblActivity[Department]=$B21)*tblActivity[TrainCompleted])/SUMPRODUCT(((F_Year="All")+(F_Year="")+(tblActivity[Year]=F_Year))*((F_Month="All")+(F_Month="")+(tblActivity[MonthName]=F_Month))*(tblActivity[Department]=$B21)*tblActivity[TrainAssigned]),0)</f>
        <v/>
      </c>
      <c r="D21" s="56">
        <f>TARGET_TRAINING</f>
        <v/>
      </c>
    </row>
  </sheetData>
  <mergeCells count="15">
    <mergeCell ref="N6:P7"/>
    <mergeCell ref="J5:L5"/>
    <mergeCell ref="B11:P11"/>
    <mergeCell ref="B5:D5"/>
    <mergeCell ref="B6:D7"/>
    <mergeCell ref="F5:H5"/>
    <mergeCell ref="F6:H7"/>
    <mergeCell ref="J6:L7"/>
    <mergeCell ref="B8:D8"/>
    <mergeCell ref="A1:P2"/>
    <mergeCell ref="F8:H8"/>
    <mergeCell ref="N5:P5"/>
    <mergeCell ref="J8:L8"/>
    <mergeCell ref="N8:P8"/>
    <mergeCell ref="A3:P3"/>
  </mergeCells>
  <conditionalFormatting sqref="B8">
    <cfRule type="expression" priority="1" dxfId="0" stopIfTrue="1">
      <formula>B6&gt;=TARGET_TRAINING</formula>
    </cfRule>
    <cfRule type="expression" priority="2" dxfId="1" stopIfTrue="1">
      <formula>B6&gt;=TARGET_TRAINING*0.9</formula>
    </cfRule>
    <cfRule type="expression" priority="3" dxfId="2" stopIfTrue="1">
      <formula>B6&lt;TARGET_TRAINING*0.9</formula>
    </cfRule>
  </conditionalFormatting>
  <conditionalFormatting sqref="C14:C21">
    <cfRule type="colorScale" priority="4">
      <colorScale>
        <cfvo type="num" val="0.7"/>
        <cfvo type="num" val="0.85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14" customWidth="1" min="3" max="3"/>
    <col width="30" customWidth="1" min="4" max="4"/>
    <col width="12" customWidth="1" min="5" max="5"/>
    <col width="12" customWidth="1" min="6" max="6"/>
    <col width="12" customWidth="1" min="7" max="7"/>
    <col width="14" customWidth="1" min="8" max="8"/>
    <col width="18" customWidth="1" min="9" max="9"/>
    <col width="9" customWidth="1" min="10" max="10"/>
    <col width="10" customWidth="1" min="11" max="11"/>
    <col width="9" customWidth="1" min="12" max="12"/>
    <col width="11" customWidth="1" min="13" max="13"/>
  </cols>
  <sheetData>
    <row r="1" ht="16" customHeight="1">
      <c r="A1" s="1" t="inlineStr">
        <is>
          <t>ASANKO GOLD MINE   |   Corrective Actions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18" customHeight="1">
      <c r="A3" s="3" t="inlineStr">
        <is>
          <t>Health, Safety &amp; Environment Management System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5">
      <c r="B5" s="13" t="inlineStr">
        <is>
          <t>OPEN ACTIONS</t>
        </is>
      </c>
      <c r="C5" s="14" t="n"/>
      <c r="D5" s="15" t="n"/>
      <c r="F5" s="16" t="inlineStr">
        <is>
          <t>OVERDUE</t>
        </is>
      </c>
      <c r="G5" s="14" t="n"/>
      <c r="H5" s="15" t="n"/>
      <c r="J5" s="13" t="inlineStr">
        <is>
          <t>CLOSED</t>
        </is>
      </c>
      <c r="K5" s="14" t="n"/>
      <c r="L5" s="15" t="n"/>
      <c r="N5" s="13" t="inlineStr">
        <is>
          <t>DUE SOON</t>
        </is>
      </c>
      <c r="O5" s="14" t="n"/>
      <c r="P5" s="15" t="n"/>
    </row>
    <row r="6">
      <c r="B6" s="17">
        <f>SUMPRODUCT(((F_Dept="All")+(F_Dept="")+(tblActions[Department]=F_Dept))*((F_Loc="All")+(F_Loc="")+(tblActions[Area]=F_Loc))*(tblActions[Status]&lt;&gt;"Closed"))</f>
        <v/>
      </c>
      <c r="C6" s="18" t="n"/>
      <c r="D6" s="19" t="n"/>
      <c r="F6" s="20">
        <f>SUMPRODUCT(((F_Dept="All")+(F_Dept="")+(tblActions[Department]=F_Dept))*((F_Loc="All")+(F_Loc="")+(tblActions[Area]=F_Loc))*tblActions[Overdue])</f>
        <v/>
      </c>
      <c r="G6" s="18" t="n"/>
      <c r="H6" s="19" t="n"/>
      <c r="J6" s="17">
        <f>SUMPRODUCT(((F_Dept="All")+(F_Dept="")+(tblActions[Department]=F_Dept))*((F_Loc="All")+(F_Loc="")+(tblActions[Area]=F_Loc))*(tblActions[Status]="Closed"))</f>
        <v/>
      </c>
      <c r="K6" s="18" t="n"/>
      <c r="L6" s="19" t="n"/>
      <c r="N6" s="17">
        <f>SUMPRODUCT(((F_Dept="All")+(F_Dept="")+(tblActions[Department]=F_Dept))*((F_Loc="All")+(F_Loc="")+(tblActions[Area]=F_Loc))*(tblActions[Status]="Due Soon"))</f>
        <v/>
      </c>
      <c r="O6" s="18" t="n"/>
      <c r="P6" s="19" t="n"/>
    </row>
    <row r="7">
      <c r="B7" s="22" t="n"/>
      <c r="C7" s="23" t="n"/>
      <c r="D7" s="24" t="n"/>
      <c r="F7" s="22" t="n"/>
      <c r="G7" s="23" t="n"/>
      <c r="H7" s="24" t="n"/>
      <c r="J7" s="22" t="n"/>
      <c r="K7" s="23" t="n"/>
      <c r="L7" s="24" t="n"/>
      <c r="N7" s="22" t="n"/>
      <c r="O7" s="23" t="n"/>
      <c r="P7" s="24" t="n"/>
    </row>
    <row r="8">
      <c r="B8" s="48" t="n"/>
      <c r="C8" s="14" t="n"/>
      <c r="D8" s="15" t="n"/>
      <c r="F8" s="25">
        <f>IF(F6=0,"NONE OVERDUE","ACTION REQUIRED")</f>
        <v/>
      </c>
      <c r="G8" s="14" t="n"/>
      <c r="H8" s="15" t="n"/>
      <c r="J8" s="48" t="n"/>
      <c r="K8" s="14" t="n"/>
      <c r="L8" s="15" t="n"/>
      <c r="N8" s="48" t="n"/>
      <c r="O8" s="14" t="n"/>
      <c r="P8" s="15" t="n"/>
    </row>
    <row r="11">
      <c r="B11" s="5" t="inlineStr">
        <is>
          <t>ACTION REGISTER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 ht="28" customHeight="1">
      <c r="B12" s="27" t="inlineStr">
        <is>
          <t>Action_ID</t>
        </is>
      </c>
      <c r="C12" s="27" t="inlineStr">
        <is>
          <t>Source_Incident</t>
        </is>
      </c>
      <c r="D12" s="27" t="inlineStr">
        <is>
          <t>Description</t>
        </is>
      </c>
      <c r="E12" s="27" t="inlineStr">
        <is>
          <t>Raised</t>
        </is>
      </c>
      <c r="F12" s="27" t="inlineStr">
        <is>
          <t>Due</t>
        </is>
      </c>
      <c r="G12" s="27" t="inlineStr">
        <is>
          <t>Owner</t>
        </is>
      </c>
      <c r="H12" s="27" t="inlineStr">
        <is>
          <t>Department</t>
        </is>
      </c>
      <c r="I12" s="27" t="inlineStr">
        <is>
          <t>Area</t>
        </is>
      </c>
      <c r="J12" s="27" t="inlineStr">
        <is>
          <t>Priority</t>
        </is>
      </c>
      <c r="K12" s="27" t="inlineStr">
        <is>
          <t>Status</t>
        </is>
      </c>
      <c r="L12" s="27" t="inlineStr">
        <is>
          <t>Overdue</t>
        </is>
      </c>
      <c r="M12" s="27" t="inlineStr">
        <is>
          <t>Days_Overdue</t>
        </is>
      </c>
    </row>
    <row r="13">
      <c r="B13" s="28" t="inlineStr">
        <is>
          <t>CAR-0001</t>
        </is>
      </c>
      <c r="C13" s="28" t="inlineStr">
        <is>
          <t>INC-0002</t>
        </is>
      </c>
      <c r="D13" s="28" t="inlineStr">
        <is>
          <t>Corrective action for Environmental at HME Workshop</t>
        </is>
      </c>
      <c r="E13" s="29" t="n">
        <v>45448</v>
      </c>
      <c r="F13" s="29" t="n">
        <v>45493</v>
      </c>
      <c r="G13" s="28" t="inlineStr">
        <is>
          <t>M. Quaye</t>
        </is>
      </c>
      <c r="H13" s="28" t="inlineStr">
        <is>
          <t>Engineering</t>
        </is>
      </c>
      <c r="I13" s="28" t="inlineStr">
        <is>
          <t>HME Workshop</t>
        </is>
      </c>
      <c r="J13" s="28" t="inlineStr">
        <is>
          <t>High</t>
        </is>
      </c>
      <c r="K13" s="28" t="inlineStr">
        <is>
          <t>Closed</t>
        </is>
      </c>
      <c r="L13" s="30">
        <f>IF(AND([@Status]&lt;&gt;"Closed",[@Due]&lt;TODAY()),1,0)</f>
        <v/>
      </c>
      <c r="M13" s="30">
        <f>IF(AND([@Status]&lt;&gt;"Closed",[@Due]&lt;TODAY()),TODAY()-[@Due],0)</f>
        <v/>
      </c>
    </row>
    <row r="14">
      <c r="B14" s="28" t="inlineStr">
        <is>
          <t>CAR-0002</t>
        </is>
      </c>
      <c r="C14" s="28" t="inlineStr">
        <is>
          <t>INC-0003</t>
        </is>
      </c>
      <c r="D14" s="28" t="inlineStr">
        <is>
          <t>Corrective action for Restricted Work at Haul Roads</t>
        </is>
      </c>
      <c r="E14" s="29" t="n">
        <v>45460</v>
      </c>
      <c r="F14" s="29" t="n">
        <v>45517</v>
      </c>
      <c r="G14" s="28" t="inlineStr">
        <is>
          <t>E. Asante</t>
        </is>
      </c>
      <c r="H14" s="28" t="inlineStr">
        <is>
          <t>Mining</t>
        </is>
      </c>
      <c r="I14" s="28" t="inlineStr">
        <is>
          <t>Haul Roads</t>
        </is>
      </c>
      <c r="J14" s="28" t="inlineStr">
        <is>
          <t>Critical</t>
        </is>
      </c>
      <c r="K14" s="28" t="inlineStr">
        <is>
          <t>Closed</t>
        </is>
      </c>
      <c r="L14" s="30">
        <f>IF(AND([@Status]&lt;&gt;"Closed",[@Due]&lt;TODAY()),1,0)</f>
        <v/>
      </c>
      <c r="M14" s="30">
        <f>IF(AND([@Status]&lt;&gt;"Closed",[@Due]&lt;TODAY()),TODAY()-[@Due],0)</f>
        <v/>
      </c>
    </row>
    <row r="15">
      <c r="B15" s="28" t="inlineStr">
        <is>
          <t>CAR-0003</t>
        </is>
      </c>
      <c r="C15" s="28" t="inlineStr">
        <is>
          <t>INC-0008</t>
        </is>
      </c>
      <c r="D15" s="28" t="inlineStr">
        <is>
          <t>Corrective action for Environmental at HME Workshop</t>
        </is>
      </c>
      <c r="E15" s="29" t="n">
        <v>45461</v>
      </c>
      <c r="F15" s="29" t="n">
        <v>45476</v>
      </c>
      <c r="G15" s="28" t="inlineStr">
        <is>
          <t>J. Boateng</t>
        </is>
      </c>
      <c r="H15" s="28" t="inlineStr">
        <is>
          <t>Engineering</t>
        </is>
      </c>
      <c r="I15" s="28" t="inlineStr">
        <is>
          <t>HME Workshop</t>
        </is>
      </c>
      <c r="J15" s="28" t="inlineStr">
        <is>
          <t>High</t>
        </is>
      </c>
      <c r="K15" s="28" t="inlineStr">
        <is>
          <t>Closed</t>
        </is>
      </c>
      <c r="L15" s="30">
        <f>IF(AND([@Status]&lt;&gt;"Closed",[@Due]&lt;TODAY()),1,0)</f>
        <v/>
      </c>
      <c r="M15" s="30">
        <f>IF(AND([@Status]&lt;&gt;"Closed",[@Due]&lt;TODAY()),TODAY()-[@Due],0)</f>
        <v/>
      </c>
    </row>
    <row r="16">
      <c r="B16" s="28" t="inlineStr">
        <is>
          <t>CAR-0004</t>
        </is>
      </c>
      <c r="C16" s="28" t="inlineStr">
        <is>
          <t>INC-0009</t>
        </is>
      </c>
      <c r="D16" s="28" t="inlineStr">
        <is>
          <t>Corrective action for Property Damage at Drill &amp; Blast</t>
        </is>
      </c>
      <c r="E16" s="29" t="n">
        <v>45470</v>
      </c>
      <c r="F16" s="29" t="n">
        <v>45511</v>
      </c>
      <c r="G16" s="28" t="inlineStr">
        <is>
          <t>Y. Darko</t>
        </is>
      </c>
      <c r="H16" s="28" t="inlineStr">
        <is>
          <t>Mining</t>
        </is>
      </c>
      <c r="I16" s="28" t="inlineStr">
        <is>
          <t>Drill &amp; Blast</t>
        </is>
      </c>
      <c r="J16" s="28" t="inlineStr">
        <is>
          <t>High</t>
        </is>
      </c>
      <c r="K16" s="28" t="inlineStr">
        <is>
          <t>Closed</t>
        </is>
      </c>
      <c r="L16" s="30">
        <f>IF(AND([@Status]&lt;&gt;"Closed",[@Due]&lt;TODAY()),1,0)</f>
        <v/>
      </c>
      <c r="M16" s="30">
        <f>IF(AND([@Status]&lt;&gt;"Closed",[@Due]&lt;TODAY()),TODAY()-[@Due],0)</f>
        <v/>
      </c>
    </row>
    <row r="17">
      <c r="B17" s="28" t="inlineStr">
        <is>
          <t>CAR-0005</t>
        </is>
      </c>
      <c r="C17" s="28" t="inlineStr">
        <is>
          <t>INC-0010</t>
        </is>
      </c>
      <c r="D17" s="28" t="inlineStr">
        <is>
          <t>Corrective action for Property Damage at Water Treatment</t>
        </is>
      </c>
      <c r="E17" s="29" t="n">
        <v>45462</v>
      </c>
      <c r="F17" s="29" t="n">
        <v>45522</v>
      </c>
      <c r="G17" s="28" t="inlineStr">
        <is>
          <t>J. Boateng</t>
        </is>
      </c>
      <c r="H17" s="28" t="inlineStr">
        <is>
          <t>Environment</t>
        </is>
      </c>
      <c r="I17" s="28" t="inlineStr">
        <is>
          <t>Water Treatment</t>
        </is>
      </c>
      <c r="J17" s="28" t="inlineStr">
        <is>
          <t>Medium</t>
        </is>
      </c>
      <c r="K17" s="28" t="inlineStr">
        <is>
          <t>Closed</t>
        </is>
      </c>
      <c r="L17" s="30">
        <f>IF(AND([@Status]&lt;&gt;"Closed",[@Due]&lt;TODAY()),1,0)</f>
        <v/>
      </c>
      <c r="M17" s="30">
        <f>IF(AND([@Status]&lt;&gt;"Closed",[@Due]&lt;TODAY()),TODAY()-[@Due],0)</f>
        <v/>
      </c>
    </row>
    <row r="18">
      <c r="B18" s="28" t="inlineStr">
        <is>
          <t>CAR-0006</t>
        </is>
      </c>
      <c r="C18" s="28" t="inlineStr">
        <is>
          <t>INC-0012</t>
        </is>
      </c>
      <c r="D18" s="28" t="inlineStr">
        <is>
          <t>Corrective action for Property Damage at Elution &amp; Gold Room</t>
        </is>
      </c>
      <c r="E18" s="29" t="n">
        <v>45465</v>
      </c>
      <c r="F18" s="29" t="n">
        <v>45510</v>
      </c>
      <c r="G18" s="28" t="inlineStr">
        <is>
          <t>F. Agyeman</t>
        </is>
      </c>
      <c r="H18" s="28" t="inlineStr">
        <is>
          <t>Processing</t>
        </is>
      </c>
      <c r="I18" s="28" t="inlineStr">
        <is>
          <t>Elution &amp; Gold Room</t>
        </is>
      </c>
      <c r="J18" s="28" t="inlineStr">
        <is>
          <t>Medium</t>
        </is>
      </c>
      <c r="K18" s="28" t="inlineStr">
        <is>
          <t>Closed</t>
        </is>
      </c>
      <c r="L18" s="30">
        <f>IF(AND([@Status]&lt;&gt;"Closed",[@Due]&lt;TODAY()),1,0)</f>
        <v/>
      </c>
      <c r="M18" s="30">
        <f>IF(AND([@Status]&lt;&gt;"Closed",[@Due]&lt;TODAY()),TODAY()-[@Due],0)</f>
        <v/>
      </c>
    </row>
    <row r="19">
      <c r="B19" s="28" t="inlineStr">
        <is>
          <t>CAR-0007</t>
        </is>
      </c>
      <c r="C19" s="28" t="inlineStr">
        <is>
          <t>INC-0013</t>
        </is>
      </c>
      <c r="D19" s="28" t="inlineStr">
        <is>
          <t>Corrective action for Medical Treatment at Crushing Circuit</t>
        </is>
      </c>
      <c r="E19" s="29" t="n">
        <v>45451</v>
      </c>
      <c r="F19" s="29" t="n">
        <v>45498</v>
      </c>
      <c r="G19" s="28" t="inlineStr">
        <is>
          <t>A. Owusu</t>
        </is>
      </c>
      <c r="H19" s="28" t="inlineStr">
        <is>
          <t>Processing</t>
        </is>
      </c>
      <c r="I19" s="28" t="inlineStr">
        <is>
          <t>Crushing Circuit</t>
        </is>
      </c>
      <c r="J19" s="28" t="inlineStr">
        <is>
          <t>Medium</t>
        </is>
      </c>
      <c r="K19" s="28" t="inlineStr">
        <is>
          <t>Closed</t>
        </is>
      </c>
      <c r="L19" s="30">
        <f>IF(AND([@Status]&lt;&gt;"Closed",[@Due]&lt;TODAY()),1,0)</f>
        <v/>
      </c>
      <c r="M19" s="30">
        <f>IF(AND([@Status]&lt;&gt;"Closed",[@Due]&lt;TODAY()),TODAY()-[@Due],0)</f>
        <v/>
      </c>
    </row>
    <row r="20">
      <c r="B20" s="28" t="inlineStr">
        <is>
          <t>CAR-0008</t>
        </is>
      </c>
      <c r="C20" s="28" t="inlineStr">
        <is>
          <t>INC-0015</t>
        </is>
      </c>
      <c r="D20" s="28" t="inlineStr">
        <is>
          <t>Corrective action for Environmental at Security Gatehouse</t>
        </is>
      </c>
      <c r="E20" s="29" t="n">
        <v>45499</v>
      </c>
      <c r="F20" s="29" t="n">
        <v>45516</v>
      </c>
      <c r="G20" s="28" t="inlineStr">
        <is>
          <t>P. Annan</t>
        </is>
      </c>
      <c r="H20" s="28" t="inlineStr">
        <is>
          <t>Security</t>
        </is>
      </c>
      <c r="I20" s="28" t="inlineStr">
        <is>
          <t>Security Gatehouse</t>
        </is>
      </c>
      <c r="J20" s="28" t="inlineStr">
        <is>
          <t>Medium</t>
        </is>
      </c>
      <c r="K20" s="28" t="inlineStr">
        <is>
          <t>Closed</t>
        </is>
      </c>
      <c r="L20" s="30">
        <f>IF(AND([@Status]&lt;&gt;"Closed",[@Due]&lt;TODAY()),1,0)</f>
        <v/>
      </c>
      <c r="M20" s="30">
        <f>IF(AND([@Status]&lt;&gt;"Closed",[@Due]&lt;TODAY()),TODAY()-[@Due],0)</f>
        <v/>
      </c>
    </row>
    <row r="21">
      <c r="B21" s="28" t="inlineStr">
        <is>
          <t>CAR-0009</t>
        </is>
      </c>
      <c r="C21" s="28" t="inlineStr">
        <is>
          <t>INC-0017</t>
        </is>
      </c>
      <c r="D21" s="28" t="inlineStr">
        <is>
          <t>Corrective action for Environmental at Tailings Storage Facility</t>
        </is>
      </c>
      <c r="E21" s="29" t="n">
        <v>45501</v>
      </c>
      <c r="F21" s="29" t="n">
        <v>45535</v>
      </c>
      <c r="G21" s="28" t="inlineStr">
        <is>
          <t>Y. Darko</t>
        </is>
      </c>
      <c r="H21" s="28" t="inlineStr">
        <is>
          <t>Environment</t>
        </is>
      </c>
      <c r="I21" s="28" t="inlineStr">
        <is>
          <t>Tailings Storage Facility</t>
        </is>
      </c>
      <c r="J21" s="28" t="inlineStr">
        <is>
          <t>Medium</t>
        </is>
      </c>
      <c r="K21" s="28" t="inlineStr">
        <is>
          <t>Closed</t>
        </is>
      </c>
      <c r="L21" s="30">
        <f>IF(AND([@Status]&lt;&gt;"Closed",[@Due]&lt;TODAY()),1,0)</f>
        <v/>
      </c>
      <c r="M21" s="30">
        <f>IF(AND([@Status]&lt;&gt;"Closed",[@Due]&lt;TODAY()),TODAY()-[@Due],0)</f>
        <v/>
      </c>
    </row>
    <row r="22">
      <c r="B22" s="28" t="inlineStr">
        <is>
          <t>CAR-0010</t>
        </is>
      </c>
      <c r="C22" s="28" t="inlineStr">
        <is>
          <t>INC-0021</t>
        </is>
      </c>
      <c r="D22" s="28" t="inlineStr">
        <is>
          <t>Corrective action for Environmental at Tailings Storage Facility</t>
        </is>
      </c>
      <c r="E22" s="29" t="n">
        <v>45483</v>
      </c>
      <c r="F22" s="29" t="n">
        <v>45517</v>
      </c>
      <c r="G22" s="28" t="inlineStr">
        <is>
          <t>A. Owusu</t>
        </is>
      </c>
      <c r="H22" s="28" t="inlineStr">
        <is>
          <t>Environment</t>
        </is>
      </c>
      <c r="I22" s="28" t="inlineStr">
        <is>
          <t>Tailings Storage Facility</t>
        </is>
      </c>
      <c r="J22" s="28" t="inlineStr">
        <is>
          <t>Low</t>
        </is>
      </c>
      <c r="K22" s="28" t="inlineStr">
        <is>
          <t>Closed</t>
        </is>
      </c>
      <c r="L22" s="30">
        <f>IF(AND([@Status]&lt;&gt;"Closed",[@Due]&lt;TODAY()),1,0)</f>
        <v/>
      </c>
      <c r="M22" s="30">
        <f>IF(AND([@Status]&lt;&gt;"Closed",[@Due]&lt;TODAY()),TODAY()-[@Due],0)</f>
        <v/>
      </c>
    </row>
    <row r="23">
      <c r="B23" s="28" t="inlineStr">
        <is>
          <t>CAR-0011</t>
        </is>
      </c>
      <c r="C23" s="28" t="inlineStr">
        <is>
          <t>INC-0023</t>
        </is>
      </c>
      <c r="D23" s="28" t="inlineStr">
        <is>
          <t>Corrective action for Property Damage at Drill &amp; Blast</t>
        </is>
      </c>
      <c r="E23" s="29" t="n">
        <v>45515</v>
      </c>
      <c r="F23" s="29" t="n">
        <v>45565</v>
      </c>
      <c r="G23" s="28" t="inlineStr">
        <is>
          <t>D. Tetteh</t>
        </is>
      </c>
      <c r="H23" s="28" t="inlineStr">
        <is>
          <t>Mining</t>
        </is>
      </c>
      <c r="I23" s="28" t="inlineStr">
        <is>
          <t>Drill &amp; Blast</t>
        </is>
      </c>
      <c r="J23" s="28" t="inlineStr">
        <is>
          <t>Medium</t>
        </is>
      </c>
      <c r="K23" s="28" t="inlineStr">
        <is>
          <t>Closed</t>
        </is>
      </c>
      <c r="L23" s="30">
        <f>IF(AND([@Status]&lt;&gt;"Closed",[@Due]&lt;TODAY()),1,0)</f>
        <v/>
      </c>
      <c r="M23" s="30">
        <f>IF(AND([@Status]&lt;&gt;"Closed",[@Due]&lt;TODAY()),TODAY()-[@Due],0)</f>
        <v/>
      </c>
    </row>
    <row r="24">
      <c r="B24" s="28" t="inlineStr">
        <is>
          <t>CAR-0012</t>
        </is>
      </c>
      <c r="C24" s="28" t="inlineStr">
        <is>
          <t>INC-0024</t>
        </is>
      </c>
      <c r="D24" s="28" t="inlineStr">
        <is>
          <t>Corrective action for Medical Treatment at Security Gatehouse</t>
        </is>
      </c>
      <c r="E24" s="29" t="n">
        <v>45513</v>
      </c>
      <c r="F24" s="29" t="n">
        <v>45544</v>
      </c>
      <c r="G24" s="28" t="inlineStr">
        <is>
          <t>F. Agyeman</t>
        </is>
      </c>
      <c r="H24" s="28" t="inlineStr">
        <is>
          <t>Security</t>
        </is>
      </c>
      <c r="I24" s="28" t="inlineStr">
        <is>
          <t>Security Gatehouse</t>
        </is>
      </c>
      <c r="J24" s="28" t="inlineStr">
        <is>
          <t>Medium</t>
        </is>
      </c>
      <c r="K24" s="28" t="inlineStr">
        <is>
          <t>Closed</t>
        </is>
      </c>
      <c r="L24" s="30">
        <f>IF(AND([@Status]&lt;&gt;"Closed",[@Due]&lt;TODAY()),1,0)</f>
        <v/>
      </c>
      <c r="M24" s="30">
        <f>IF(AND([@Status]&lt;&gt;"Closed",[@Due]&lt;TODAY()),TODAY()-[@Due],0)</f>
        <v/>
      </c>
    </row>
    <row r="25">
      <c r="B25" s="28" t="inlineStr">
        <is>
          <t>CAR-0013</t>
        </is>
      </c>
      <c r="C25" s="28" t="inlineStr">
        <is>
          <t>INC-0030</t>
        </is>
      </c>
      <c r="D25" s="28" t="inlineStr">
        <is>
          <t>Corrective action for Medical Treatment at Drill &amp; Blast</t>
        </is>
      </c>
      <c r="E25" s="29" t="n">
        <v>45544</v>
      </c>
      <c r="F25" s="29" t="n">
        <v>45603</v>
      </c>
      <c r="G25" s="28" t="inlineStr">
        <is>
          <t>J. Boateng</t>
        </is>
      </c>
      <c r="H25" s="28" t="inlineStr">
        <is>
          <t>Mining</t>
        </is>
      </c>
      <c r="I25" s="28" t="inlineStr">
        <is>
          <t>Drill &amp; Blast</t>
        </is>
      </c>
      <c r="J25" s="28" t="inlineStr">
        <is>
          <t>Medium</t>
        </is>
      </c>
      <c r="K25" s="28" t="inlineStr">
        <is>
          <t>Closed</t>
        </is>
      </c>
      <c r="L25" s="30">
        <f>IF(AND([@Status]&lt;&gt;"Closed",[@Due]&lt;TODAY()),1,0)</f>
        <v/>
      </c>
      <c r="M25" s="30">
        <f>IF(AND([@Status]&lt;&gt;"Closed",[@Due]&lt;TODAY()),TODAY()-[@Due],0)</f>
        <v/>
      </c>
    </row>
    <row r="26">
      <c r="B26" s="28" t="inlineStr">
        <is>
          <t>CAR-0014</t>
        </is>
      </c>
      <c r="C26" s="28" t="inlineStr">
        <is>
          <t>INC-0031</t>
        </is>
      </c>
      <c r="D26" s="28" t="inlineStr">
        <is>
          <t>Corrective action for Environmental at Water Treatment</t>
        </is>
      </c>
      <c r="E26" s="29" t="n">
        <v>45548</v>
      </c>
      <c r="F26" s="29" t="n">
        <v>45563</v>
      </c>
      <c r="G26" s="28" t="inlineStr">
        <is>
          <t>K. Mensah</t>
        </is>
      </c>
      <c r="H26" s="28" t="inlineStr">
        <is>
          <t>Environment</t>
        </is>
      </c>
      <c r="I26" s="28" t="inlineStr">
        <is>
          <t>Water Treatment</t>
        </is>
      </c>
      <c r="J26" s="28" t="inlineStr">
        <is>
          <t>Low</t>
        </is>
      </c>
      <c r="K26" s="28" t="inlineStr">
        <is>
          <t>Closed</t>
        </is>
      </c>
      <c r="L26" s="30">
        <f>IF(AND([@Status]&lt;&gt;"Closed",[@Due]&lt;TODAY()),1,0)</f>
        <v/>
      </c>
      <c r="M26" s="30">
        <f>IF(AND([@Status]&lt;&gt;"Closed",[@Due]&lt;TODAY()),TODAY()-[@Due],0)</f>
        <v/>
      </c>
    </row>
    <row r="27">
      <c r="B27" s="28" t="inlineStr">
        <is>
          <t>CAR-0015</t>
        </is>
      </c>
      <c r="C27" s="28" t="inlineStr">
        <is>
          <t>INC-0033</t>
        </is>
      </c>
      <c r="D27" s="28" t="inlineStr">
        <is>
          <t>Corrective action for Property Damage at Drill &amp; Blast</t>
        </is>
      </c>
      <c r="E27" s="29" t="n">
        <v>45551</v>
      </c>
      <c r="F27" s="29" t="n">
        <v>45578</v>
      </c>
      <c r="G27" s="28" t="inlineStr">
        <is>
          <t>K. Mensah</t>
        </is>
      </c>
      <c r="H27" s="28" t="inlineStr">
        <is>
          <t>Mining</t>
        </is>
      </c>
      <c r="I27" s="28" t="inlineStr">
        <is>
          <t>Drill &amp; Blast</t>
        </is>
      </c>
      <c r="J27" s="28" t="inlineStr">
        <is>
          <t>Medium</t>
        </is>
      </c>
      <c r="K27" s="28" t="inlineStr">
        <is>
          <t>Closed</t>
        </is>
      </c>
      <c r="L27" s="30">
        <f>IF(AND([@Status]&lt;&gt;"Closed",[@Due]&lt;TODAY()),1,0)</f>
        <v/>
      </c>
      <c r="M27" s="30">
        <f>IF(AND([@Status]&lt;&gt;"Closed",[@Due]&lt;TODAY()),TODAY()-[@Due],0)</f>
        <v/>
      </c>
    </row>
    <row r="28">
      <c r="B28" s="28" t="inlineStr">
        <is>
          <t>CAR-0016</t>
        </is>
      </c>
      <c r="C28" s="28" t="inlineStr">
        <is>
          <t>INC-0034</t>
        </is>
      </c>
      <c r="D28" s="28" t="inlineStr">
        <is>
          <t>Corrective action for Property Damage at Assay Laboratory</t>
        </is>
      </c>
      <c r="E28" s="29" t="n">
        <v>45554</v>
      </c>
      <c r="F28" s="29" t="n">
        <v>45574</v>
      </c>
      <c r="G28" s="28" t="inlineStr">
        <is>
          <t>D. Tetteh</t>
        </is>
      </c>
      <c r="H28" s="28" t="inlineStr">
        <is>
          <t>Laboratory</t>
        </is>
      </c>
      <c r="I28" s="28" t="inlineStr">
        <is>
          <t>Assay Laboratory</t>
        </is>
      </c>
      <c r="J28" s="28" t="inlineStr">
        <is>
          <t>Medium</t>
        </is>
      </c>
      <c r="K28" s="28" t="inlineStr">
        <is>
          <t>Closed</t>
        </is>
      </c>
      <c r="L28" s="30">
        <f>IF(AND([@Status]&lt;&gt;"Closed",[@Due]&lt;TODAY()),1,0)</f>
        <v/>
      </c>
      <c r="M28" s="30">
        <f>IF(AND([@Status]&lt;&gt;"Closed",[@Due]&lt;TODAY()),TODAY()-[@Due],0)</f>
        <v/>
      </c>
    </row>
    <row r="29">
      <c r="B29" s="28" t="inlineStr">
        <is>
          <t>CAR-0017</t>
        </is>
      </c>
      <c r="C29" s="28" t="inlineStr">
        <is>
          <t>INC-0035</t>
        </is>
      </c>
      <c r="D29" s="28" t="inlineStr">
        <is>
          <t>Corrective action for Property Damage at Tailings Storage Facility</t>
        </is>
      </c>
      <c r="E29" s="29" t="n">
        <v>45575</v>
      </c>
      <c r="F29" s="29" t="n">
        <v>45629</v>
      </c>
      <c r="G29" s="28" t="inlineStr">
        <is>
          <t>P. Annan</t>
        </is>
      </c>
      <c r="H29" s="28" t="inlineStr">
        <is>
          <t>Environment</t>
        </is>
      </c>
      <c r="I29" s="28" t="inlineStr">
        <is>
          <t>Tailings Storage Facility</t>
        </is>
      </c>
      <c r="J29" s="28" t="inlineStr">
        <is>
          <t>High</t>
        </is>
      </c>
      <c r="K29" s="28" t="inlineStr">
        <is>
          <t>Closed</t>
        </is>
      </c>
      <c r="L29" s="30">
        <f>IF(AND([@Status]&lt;&gt;"Closed",[@Due]&lt;TODAY()),1,0)</f>
        <v/>
      </c>
      <c r="M29" s="30">
        <f>IF(AND([@Status]&lt;&gt;"Closed",[@Due]&lt;TODAY()),TODAY()-[@Due],0)</f>
        <v/>
      </c>
    </row>
    <row r="30">
      <c r="B30" s="28" t="inlineStr">
        <is>
          <t>CAR-0018</t>
        </is>
      </c>
      <c r="C30" s="28" t="inlineStr">
        <is>
          <t>INC-0044</t>
        </is>
      </c>
      <c r="D30" s="28" t="inlineStr">
        <is>
          <t>Corrective action for Environmental at HME Workshop</t>
        </is>
      </c>
      <c r="E30" s="29" t="n">
        <v>45618</v>
      </c>
      <c r="F30" s="29" t="n">
        <v>45657</v>
      </c>
      <c r="G30" s="28" t="inlineStr">
        <is>
          <t>F. Agyeman</t>
        </is>
      </c>
      <c r="H30" s="28" t="inlineStr">
        <is>
          <t>Engineering</t>
        </is>
      </c>
      <c r="I30" s="28" t="inlineStr">
        <is>
          <t>HME Workshop</t>
        </is>
      </c>
      <c r="J30" s="28" t="inlineStr">
        <is>
          <t>High</t>
        </is>
      </c>
      <c r="K30" s="28" t="inlineStr">
        <is>
          <t>Closed</t>
        </is>
      </c>
      <c r="L30" s="30">
        <f>IF(AND([@Status]&lt;&gt;"Closed",[@Due]&lt;TODAY()),1,0)</f>
        <v/>
      </c>
      <c r="M30" s="30">
        <f>IF(AND([@Status]&lt;&gt;"Closed",[@Due]&lt;TODAY()),TODAY()-[@Due],0)</f>
        <v/>
      </c>
    </row>
    <row r="31">
      <c r="B31" s="28" t="inlineStr">
        <is>
          <t>CAR-0019</t>
        </is>
      </c>
      <c r="C31" s="28" t="inlineStr">
        <is>
          <t>INC-0047</t>
        </is>
      </c>
      <c r="D31" s="28" t="inlineStr">
        <is>
          <t>Corrective action for Environmental at Elution &amp; Gold Room</t>
        </is>
      </c>
      <c r="E31" s="29" t="n">
        <v>45610</v>
      </c>
      <c r="F31" s="29" t="n">
        <v>45668</v>
      </c>
      <c r="G31" s="28" t="inlineStr">
        <is>
          <t>P. Annan</t>
        </is>
      </c>
      <c r="H31" s="28" t="inlineStr">
        <is>
          <t>Processing</t>
        </is>
      </c>
      <c r="I31" s="28" t="inlineStr">
        <is>
          <t>Elution &amp; Gold Room</t>
        </is>
      </c>
      <c r="J31" s="28" t="inlineStr">
        <is>
          <t>Medium</t>
        </is>
      </c>
      <c r="K31" s="28" t="inlineStr">
        <is>
          <t>Closed</t>
        </is>
      </c>
      <c r="L31" s="30">
        <f>IF(AND([@Status]&lt;&gt;"Closed",[@Due]&lt;TODAY()),1,0)</f>
        <v/>
      </c>
      <c r="M31" s="30">
        <f>IF(AND([@Status]&lt;&gt;"Closed",[@Due]&lt;TODAY()),TODAY()-[@Due],0)</f>
        <v/>
      </c>
    </row>
    <row r="32">
      <c r="B32" s="28" t="inlineStr">
        <is>
          <t>CAR-0020</t>
        </is>
      </c>
      <c r="C32" s="28" t="inlineStr">
        <is>
          <t>INC-0048</t>
        </is>
      </c>
      <c r="D32" s="28" t="inlineStr">
        <is>
          <t>Corrective action for Property Damage at Power Station</t>
        </is>
      </c>
      <c r="E32" s="29" t="n">
        <v>45607</v>
      </c>
      <c r="F32" s="29" t="n">
        <v>45651</v>
      </c>
      <c r="G32" s="28" t="inlineStr">
        <is>
          <t>Y. Darko</t>
        </is>
      </c>
      <c r="H32" s="28" t="inlineStr">
        <is>
          <t>Engineering</t>
        </is>
      </c>
      <c r="I32" s="28" t="inlineStr">
        <is>
          <t>Power Station</t>
        </is>
      </c>
      <c r="J32" s="28" t="inlineStr">
        <is>
          <t>Low</t>
        </is>
      </c>
      <c r="K32" s="28" t="inlineStr">
        <is>
          <t>Closed</t>
        </is>
      </c>
      <c r="L32" s="30">
        <f>IF(AND([@Status]&lt;&gt;"Closed",[@Due]&lt;TODAY()),1,0)</f>
        <v/>
      </c>
      <c r="M32" s="30">
        <f>IF(AND([@Status]&lt;&gt;"Closed",[@Due]&lt;TODAY()),TODAY()-[@Due],0)</f>
        <v/>
      </c>
    </row>
    <row r="33">
      <c r="B33" s="28" t="inlineStr">
        <is>
          <t>CAR-0021</t>
        </is>
      </c>
      <c r="C33" s="28" t="inlineStr">
        <is>
          <t>INC-0050</t>
        </is>
      </c>
      <c r="D33" s="28" t="inlineStr">
        <is>
          <t>Corrective action for Property Damage at Warehouse &amp; Stores</t>
        </is>
      </c>
      <c r="E33" s="29" t="n">
        <v>45659</v>
      </c>
      <c r="F33" s="29" t="n">
        <v>45677</v>
      </c>
      <c r="G33" s="28" t="inlineStr">
        <is>
          <t>M. Quaye</t>
        </is>
      </c>
      <c r="H33" s="28" t="inlineStr">
        <is>
          <t>Logistics</t>
        </is>
      </c>
      <c r="I33" s="28" t="inlineStr">
        <is>
          <t>Warehouse &amp; Stores</t>
        </is>
      </c>
      <c r="J33" s="28" t="inlineStr">
        <is>
          <t>Medium</t>
        </is>
      </c>
      <c r="K33" s="28" t="inlineStr">
        <is>
          <t>Closed</t>
        </is>
      </c>
      <c r="L33" s="30">
        <f>IF(AND([@Status]&lt;&gt;"Closed",[@Due]&lt;TODAY()),1,0)</f>
        <v/>
      </c>
      <c r="M33" s="30">
        <f>IF(AND([@Status]&lt;&gt;"Closed",[@Due]&lt;TODAY()),TODAY()-[@Due],0)</f>
        <v/>
      </c>
    </row>
    <row r="34">
      <c r="B34" s="28" t="inlineStr">
        <is>
          <t>CAR-0022</t>
        </is>
      </c>
      <c r="C34" s="28" t="inlineStr">
        <is>
          <t>INC-0052</t>
        </is>
      </c>
      <c r="D34" s="28" t="inlineStr">
        <is>
          <t>Corrective action for Property Damage at Tailings Storage Facility</t>
        </is>
      </c>
      <c r="E34" s="29" t="n">
        <v>45643</v>
      </c>
      <c r="F34" s="29" t="n">
        <v>45694</v>
      </c>
      <c r="G34" s="28" t="inlineStr">
        <is>
          <t>Y. Darko</t>
        </is>
      </c>
      <c r="H34" s="28" t="inlineStr">
        <is>
          <t>Environment</t>
        </is>
      </c>
      <c r="I34" s="28" t="inlineStr">
        <is>
          <t>Tailings Storage Facility</t>
        </is>
      </c>
      <c r="J34" s="28" t="inlineStr">
        <is>
          <t>Low</t>
        </is>
      </c>
      <c r="K34" s="28" t="inlineStr">
        <is>
          <t>Closed</t>
        </is>
      </c>
      <c r="L34" s="30">
        <f>IF(AND([@Status]&lt;&gt;"Closed",[@Due]&lt;TODAY()),1,0)</f>
        <v/>
      </c>
      <c r="M34" s="30">
        <f>IF(AND([@Status]&lt;&gt;"Closed",[@Due]&lt;TODAY()),TODAY()-[@Due],0)</f>
        <v/>
      </c>
    </row>
    <row r="35">
      <c r="B35" s="28" t="inlineStr">
        <is>
          <t>CAR-0023</t>
        </is>
      </c>
      <c r="C35" s="28" t="inlineStr">
        <is>
          <t>INC-0054</t>
        </is>
      </c>
      <c r="D35" s="28" t="inlineStr">
        <is>
          <t>Corrective action for Environmental at Elution &amp; Gold Room</t>
        </is>
      </c>
      <c r="E35" s="29" t="n">
        <v>45650</v>
      </c>
      <c r="F35" s="29" t="n">
        <v>45702</v>
      </c>
      <c r="G35" s="28" t="inlineStr">
        <is>
          <t>S. Addo</t>
        </is>
      </c>
      <c r="H35" s="28" t="inlineStr">
        <is>
          <t>Processing</t>
        </is>
      </c>
      <c r="I35" s="28" t="inlineStr">
        <is>
          <t>Elution &amp; Gold Room</t>
        </is>
      </c>
      <c r="J35" s="28" t="inlineStr">
        <is>
          <t>Medium</t>
        </is>
      </c>
      <c r="K35" s="28" t="inlineStr">
        <is>
          <t>Closed</t>
        </is>
      </c>
      <c r="L35" s="30">
        <f>IF(AND([@Status]&lt;&gt;"Closed",[@Due]&lt;TODAY()),1,0)</f>
        <v/>
      </c>
      <c r="M35" s="30">
        <f>IF(AND([@Status]&lt;&gt;"Closed",[@Due]&lt;TODAY()),TODAY()-[@Due],0)</f>
        <v/>
      </c>
    </row>
    <row r="36">
      <c r="B36" s="28" t="inlineStr">
        <is>
          <t>CAR-0024</t>
        </is>
      </c>
      <c r="C36" s="28" t="inlineStr">
        <is>
          <t>INC-0057</t>
        </is>
      </c>
      <c r="D36" s="28" t="inlineStr">
        <is>
          <t>Corrective action for Medical Treatment at Warehouse &amp; Stores</t>
        </is>
      </c>
      <c r="E36" s="29" t="n">
        <v>45682</v>
      </c>
      <c r="F36" s="29" t="n">
        <v>45741</v>
      </c>
      <c r="G36" s="28" t="inlineStr">
        <is>
          <t>E. Asante</t>
        </is>
      </c>
      <c r="H36" s="28" t="inlineStr">
        <is>
          <t>Logistics</t>
        </is>
      </c>
      <c r="I36" s="28" t="inlineStr">
        <is>
          <t>Warehouse &amp; Stores</t>
        </is>
      </c>
      <c r="J36" s="28" t="inlineStr">
        <is>
          <t>Critical</t>
        </is>
      </c>
      <c r="K36" s="28" t="inlineStr">
        <is>
          <t>Closed</t>
        </is>
      </c>
      <c r="L36" s="30">
        <f>IF(AND([@Status]&lt;&gt;"Closed",[@Due]&lt;TODAY()),1,0)</f>
        <v/>
      </c>
      <c r="M36" s="30">
        <f>IF(AND([@Status]&lt;&gt;"Closed",[@Due]&lt;TODAY()),TODAY()-[@Due],0)</f>
        <v/>
      </c>
    </row>
    <row r="37">
      <c r="B37" s="28" t="inlineStr">
        <is>
          <t>CAR-0025</t>
        </is>
      </c>
      <c r="C37" s="28" t="inlineStr">
        <is>
          <t>INC-0060</t>
        </is>
      </c>
      <c r="D37" s="28" t="inlineStr">
        <is>
          <t>Corrective action for Property Damage at HME Workshop</t>
        </is>
      </c>
      <c r="E37" s="29" t="n">
        <v>45681</v>
      </c>
      <c r="F37" s="29" t="n">
        <v>45706</v>
      </c>
      <c r="G37" s="28" t="inlineStr">
        <is>
          <t>P. Annan</t>
        </is>
      </c>
      <c r="H37" s="28" t="inlineStr">
        <is>
          <t>Engineering</t>
        </is>
      </c>
      <c r="I37" s="28" t="inlineStr">
        <is>
          <t>HME Workshop</t>
        </is>
      </c>
      <c r="J37" s="28" t="inlineStr">
        <is>
          <t>Medium</t>
        </is>
      </c>
      <c r="K37" s="28" t="inlineStr">
        <is>
          <t>Open</t>
        </is>
      </c>
      <c r="L37" s="30">
        <f>IF(AND([@Status]&lt;&gt;"Closed",[@Due]&lt;TODAY()),1,0)</f>
        <v/>
      </c>
      <c r="M37" s="30">
        <f>IF(AND([@Status]&lt;&gt;"Closed",[@Due]&lt;TODAY()),TODAY()-[@Due],0)</f>
        <v/>
      </c>
    </row>
    <row r="38">
      <c r="B38" s="28" t="inlineStr">
        <is>
          <t>CAR-0026</t>
        </is>
      </c>
      <c r="C38" s="28" t="inlineStr">
        <is>
          <t>INC-0061</t>
        </is>
      </c>
      <c r="D38" s="28" t="inlineStr">
        <is>
          <t>Corrective action for Environmental at Drill &amp; Blast</t>
        </is>
      </c>
      <c r="E38" s="29" t="n">
        <v>45660</v>
      </c>
      <c r="F38" s="29" t="n">
        <v>45716</v>
      </c>
      <c r="G38" s="28" t="inlineStr">
        <is>
          <t>K. Mensah</t>
        </is>
      </c>
      <c r="H38" s="28" t="inlineStr">
        <is>
          <t>Mining</t>
        </is>
      </c>
      <c r="I38" s="28" t="inlineStr">
        <is>
          <t>Drill &amp; Blast</t>
        </is>
      </c>
      <c r="J38" s="28" t="inlineStr">
        <is>
          <t>High</t>
        </is>
      </c>
      <c r="K38" s="28" t="inlineStr">
        <is>
          <t>Closed</t>
        </is>
      </c>
      <c r="L38" s="30">
        <f>IF(AND([@Status]&lt;&gt;"Closed",[@Due]&lt;TODAY()),1,0)</f>
        <v/>
      </c>
      <c r="M38" s="30">
        <f>IF(AND([@Status]&lt;&gt;"Closed",[@Due]&lt;TODAY()),TODAY()-[@Due],0)</f>
        <v/>
      </c>
    </row>
    <row r="39">
      <c r="B39" s="28" t="inlineStr">
        <is>
          <t>CAR-0027</t>
        </is>
      </c>
      <c r="C39" s="28" t="inlineStr">
        <is>
          <t>INC-0063</t>
        </is>
      </c>
      <c r="D39" s="28" t="inlineStr">
        <is>
          <t>Corrective action for Environmental at Explosives Magazine</t>
        </is>
      </c>
      <c r="E39" s="29" t="n">
        <v>45659</v>
      </c>
      <c r="F39" s="29" t="n">
        <v>45709</v>
      </c>
      <c r="G39" s="28" t="inlineStr">
        <is>
          <t>F. Agyeman</t>
        </is>
      </c>
      <c r="H39" s="28" t="inlineStr">
        <is>
          <t>Mining</t>
        </is>
      </c>
      <c r="I39" s="28" t="inlineStr">
        <is>
          <t>Explosives Magazine</t>
        </is>
      </c>
      <c r="J39" s="28" t="inlineStr">
        <is>
          <t>Medium</t>
        </is>
      </c>
      <c r="K39" s="28" t="inlineStr">
        <is>
          <t>Closed</t>
        </is>
      </c>
      <c r="L39" s="30">
        <f>IF(AND([@Status]&lt;&gt;"Closed",[@Due]&lt;TODAY()),1,0)</f>
        <v/>
      </c>
      <c r="M39" s="30">
        <f>IF(AND([@Status]&lt;&gt;"Closed",[@Due]&lt;TODAY()),TODAY()-[@Due],0)</f>
        <v/>
      </c>
    </row>
    <row r="40">
      <c r="B40" s="28" t="inlineStr">
        <is>
          <t>CAR-0028</t>
        </is>
      </c>
      <c r="C40" s="28" t="inlineStr">
        <is>
          <t>INC-0067</t>
        </is>
      </c>
      <c r="D40" s="28" t="inlineStr">
        <is>
          <t>Corrective action for Property Damage at Nkran Open Pit</t>
        </is>
      </c>
      <c r="E40" s="29" t="n">
        <v>45697</v>
      </c>
      <c r="F40" s="29" t="n">
        <v>45730</v>
      </c>
      <c r="G40" s="28" t="inlineStr">
        <is>
          <t>Y. Darko</t>
        </is>
      </c>
      <c r="H40" s="28" t="inlineStr">
        <is>
          <t>Mining</t>
        </is>
      </c>
      <c r="I40" s="28" t="inlineStr">
        <is>
          <t>Nkran Open Pit</t>
        </is>
      </c>
      <c r="J40" s="28" t="inlineStr">
        <is>
          <t>Low</t>
        </is>
      </c>
      <c r="K40" s="28" t="inlineStr">
        <is>
          <t>Closed</t>
        </is>
      </c>
      <c r="L40" s="30">
        <f>IF(AND([@Status]&lt;&gt;"Closed",[@Due]&lt;TODAY()),1,0)</f>
        <v/>
      </c>
      <c r="M40" s="30">
        <f>IF(AND([@Status]&lt;&gt;"Closed",[@Due]&lt;TODAY()),TODAY()-[@Due],0)</f>
        <v/>
      </c>
    </row>
    <row r="41">
      <c r="B41" s="28" t="inlineStr">
        <is>
          <t>CAR-0029</t>
        </is>
      </c>
      <c r="C41" s="28" t="inlineStr">
        <is>
          <t>INC-0068</t>
        </is>
      </c>
      <c r="D41" s="28" t="inlineStr">
        <is>
          <t>Corrective action for Property Damage at Fuel Farm</t>
        </is>
      </c>
      <c r="E41" s="29" t="n">
        <v>45693</v>
      </c>
      <c r="F41" s="29" t="n">
        <v>45739</v>
      </c>
      <c r="G41" s="28" t="inlineStr">
        <is>
          <t>D. Tetteh</t>
        </is>
      </c>
      <c r="H41" s="28" t="inlineStr">
        <is>
          <t>Engineering</t>
        </is>
      </c>
      <c r="I41" s="28" t="inlineStr">
        <is>
          <t>Fuel Farm</t>
        </is>
      </c>
      <c r="J41" s="28" t="inlineStr">
        <is>
          <t>Low</t>
        </is>
      </c>
      <c r="K41" s="28" t="inlineStr">
        <is>
          <t>Closed</t>
        </is>
      </c>
      <c r="L41" s="30">
        <f>IF(AND([@Status]&lt;&gt;"Closed",[@Due]&lt;TODAY()),1,0)</f>
        <v/>
      </c>
      <c r="M41" s="30">
        <f>IF(AND([@Status]&lt;&gt;"Closed",[@Due]&lt;TODAY()),TODAY()-[@Due],0)</f>
        <v/>
      </c>
    </row>
    <row r="42">
      <c r="B42" s="28" t="inlineStr">
        <is>
          <t>CAR-0030</t>
        </is>
      </c>
      <c r="C42" s="28" t="inlineStr">
        <is>
          <t>INC-0070</t>
        </is>
      </c>
      <c r="D42" s="28" t="inlineStr">
        <is>
          <t>Corrective action for Property Damage at Warehouse &amp; Stores</t>
        </is>
      </c>
      <c r="E42" s="29" t="n">
        <v>45706</v>
      </c>
      <c r="F42" s="29" t="n">
        <v>45739</v>
      </c>
      <c r="G42" s="28" t="inlineStr">
        <is>
          <t>Y. Darko</t>
        </is>
      </c>
      <c r="H42" s="28" t="inlineStr">
        <is>
          <t>Logistics</t>
        </is>
      </c>
      <c r="I42" s="28" t="inlineStr">
        <is>
          <t>Warehouse &amp; Stores</t>
        </is>
      </c>
      <c r="J42" s="28" t="inlineStr">
        <is>
          <t>Critical</t>
        </is>
      </c>
      <c r="K42" s="28" t="inlineStr">
        <is>
          <t>Closed</t>
        </is>
      </c>
      <c r="L42" s="30">
        <f>IF(AND([@Status]&lt;&gt;"Closed",[@Due]&lt;TODAY()),1,0)</f>
        <v/>
      </c>
      <c r="M42" s="30">
        <f>IF(AND([@Status]&lt;&gt;"Closed",[@Due]&lt;TODAY()),TODAY()-[@Due],0)</f>
        <v/>
      </c>
    </row>
    <row r="43">
      <c r="B43" s="28" t="inlineStr">
        <is>
          <t>CAR-0031</t>
        </is>
      </c>
      <c r="C43" s="28" t="inlineStr">
        <is>
          <t>INC-0071</t>
        </is>
      </c>
      <c r="D43" s="28" t="inlineStr">
        <is>
          <t>Corrective action for Medical Treatment at Assay Laboratory</t>
        </is>
      </c>
      <c r="E43" s="29" t="n">
        <v>45698</v>
      </c>
      <c r="F43" s="29" t="n">
        <v>45734</v>
      </c>
      <c r="G43" s="28" t="inlineStr">
        <is>
          <t>Y. Darko</t>
        </is>
      </c>
      <c r="H43" s="28" t="inlineStr">
        <is>
          <t>Laboratory</t>
        </is>
      </c>
      <c r="I43" s="28" t="inlineStr">
        <is>
          <t>Assay Laboratory</t>
        </is>
      </c>
      <c r="J43" s="28" t="inlineStr">
        <is>
          <t>Low</t>
        </is>
      </c>
      <c r="K43" s="28" t="inlineStr">
        <is>
          <t>Closed</t>
        </is>
      </c>
      <c r="L43" s="30">
        <f>IF(AND([@Status]&lt;&gt;"Closed",[@Due]&lt;TODAY()),1,0)</f>
        <v/>
      </c>
      <c r="M43" s="30">
        <f>IF(AND([@Status]&lt;&gt;"Closed",[@Due]&lt;TODAY()),TODAY()-[@Due],0)</f>
        <v/>
      </c>
    </row>
    <row r="44">
      <c r="B44" s="28" t="inlineStr">
        <is>
          <t>CAR-0032</t>
        </is>
      </c>
      <c r="C44" s="28" t="inlineStr">
        <is>
          <t>INC-0072</t>
        </is>
      </c>
      <c r="D44" s="28" t="inlineStr">
        <is>
          <t>Corrective action for Environmental at Processing Plant (CIL)</t>
        </is>
      </c>
      <c r="E44" s="29" t="n">
        <v>45705</v>
      </c>
      <c r="F44" s="29" t="n">
        <v>45749</v>
      </c>
      <c r="G44" s="28" t="inlineStr">
        <is>
          <t>M. Quaye</t>
        </is>
      </c>
      <c r="H44" s="28" t="inlineStr">
        <is>
          <t>Processing</t>
        </is>
      </c>
      <c r="I44" s="28" t="inlineStr">
        <is>
          <t>Processing Plant (CIL)</t>
        </is>
      </c>
      <c r="J44" s="28" t="inlineStr">
        <is>
          <t>High</t>
        </is>
      </c>
      <c r="K44" s="28" t="inlineStr">
        <is>
          <t>Closed</t>
        </is>
      </c>
      <c r="L44" s="30">
        <f>IF(AND([@Status]&lt;&gt;"Closed",[@Due]&lt;TODAY()),1,0)</f>
        <v/>
      </c>
      <c r="M44" s="30">
        <f>IF(AND([@Status]&lt;&gt;"Closed",[@Due]&lt;TODAY()),TODAY()-[@Due],0)</f>
        <v/>
      </c>
    </row>
    <row r="45">
      <c r="B45" s="28" t="inlineStr">
        <is>
          <t>CAR-0033</t>
        </is>
      </c>
      <c r="C45" s="28" t="inlineStr">
        <is>
          <t>INC-0078</t>
        </is>
      </c>
      <c r="D45" s="28" t="inlineStr">
        <is>
          <t>Corrective action for Environmental at Crushing Circuit</t>
        </is>
      </c>
      <c r="E45" s="29" t="n">
        <v>45741</v>
      </c>
      <c r="F45" s="29" t="n">
        <v>45770</v>
      </c>
      <c r="G45" s="28" t="inlineStr">
        <is>
          <t>S. Addo</t>
        </is>
      </c>
      <c r="H45" s="28" t="inlineStr">
        <is>
          <t>Processing</t>
        </is>
      </c>
      <c r="I45" s="28" t="inlineStr">
        <is>
          <t>Crushing Circuit</t>
        </is>
      </c>
      <c r="J45" s="28" t="inlineStr">
        <is>
          <t>High</t>
        </is>
      </c>
      <c r="K45" s="28" t="inlineStr">
        <is>
          <t>Closed</t>
        </is>
      </c>
      <c r="L45" s="30">
        <f>IF(AND([@Status]&lt;&gt;"Closed",[@Due]&lt;TODAY()),1,0)</f>
        <v/>
      </c>
      <c r="M45" s="30">
        <f>IF(AND([@Status]&lt;&gt;"Closed",[@Due]&lt;TODAY()),TODAY()-[@Due],0)</f>
        <v/>
      </c>
    </row>
    <row r="46">
      <c r="B46" s="28" t="inlineStr">
        <is>
          <t>CAR-0034</t>
        </is>
      </c>
      <c r="C46" s="28" t="inlineStr">
        <is>
          <t>INC-0079</t>
        </is>
      </c>
      <c r="D46" s="28" t="inlineStr">
        <is>
          <t>Corrective action for Property Damage at Haul Roads</t>
        </is>
      </c>
      <c r="E46" s="29" t="n">
        <v>45739</v>
      </c>
      <c r="F46" s="29" t="n">
        <v>45796</v>
      </c>
      <c r="G46" s="28" t="inlineStr">
        <is>
          <t>D. Tetteh</t>
        </is>
      </c>
      <c r="H46" s="28" t="inlineStr">
        <is>
          <t>Mining</t>
        </is>
      </c>
      <c r="I46" s="28" t="inlineStr">
        <is>
          <t>Haul Roads</t>
        </is>
      </c>
      <c r="J46" s="28" t="inlineStr">
        <is>
          <t>Medium</t>
        </is>
      </c>
      <c r="K46" s="28" t="inlineStr">
        <is>
          <t>Closed</t>
        </is>
      </c>
      <c r="L46" s="30">
        <f>IF(AND([@Status]&lt;&gt;"Closed",[@Due]&lt;TODAY()),1,0)</f>
        <v/>
      </c>
      <c r="M46" s="30">
        <f>IF(AND([@Status]&lt;&gt;"Closed",[@Due]&lt;TODAY()),TODAY()-[@Due],0)</f>
        <v/>
      </c>
    </row>
    <row r="47">
      <c r="B47" s="28" t="inlineStr">
        <is>
          <t>CAR-0035</t>
        </is>
      </c>
      <c r="C47" s="28" t="inlineStr">
        <is>
          <t>INC-0081</t>
        </is>
      </c>
      <c r="D47" s="28" t="inlineStr">
        <is>
          <t>Corrective action for Medical Treatment at Explosives Magazine</t>
        </is>
      </c>
      <c r="E47" s="29" t="n">
        <v>45775</v>
      </c>
      <c r="F47" s="29" t="n">
        <v>45802</v>
      </c>
      <c r="G47" s="28" t="inlineStr">
        <is>
          <t>Y. Darko</t>
        </is>
      </c>
      <c r="H47" s="28" t="inlineStr">
        <is>
          <t>Mining</t>
        </is>
      </c>
      <c r="I47" s="28" t="inlineStr">
        <is>
          <t>Explosives Magazine</t>
        </is>
      </c>
      <c r="J47" s="28" t="inlineStr">
        <is>
          <t>High</t>
        </is>
      </c>
      <c r="K47" s="28" t="inlineStr">
        <is>
          <t>Closed</t>
        </is>
      </c>
      <c r="L47" s="30">
        <f>IF(AND([@Status]&lt;&gt;"Closed",[@Due]&lt;TODAY()),1,0)</f>
        <v/>
      </c>
      <c r="M47" s="30">
        <f>IF(AND([@Status]&lt;&gt;"Closed",[@Due]&lt;TODAY()),TODAY()-[@Due],0)</f>
        <v/>
      </c>
    </row>
    <row r="48">
      <c r="B48" s="28" t="inlineStr">
        <is>
          <t>CAR-0036</t>
        </is>
      </c>
      <c r="C48" s="28" t="inlineStr">
        <is>
          <t>INC-0083</t>
        </is>
      </c>
      <c r="D48" s="28" t="inlineStr">
        <is>
          <t>Corrective action for Environmental at HME Workshop</t>
        </is>
      </c>
      <c r="E48" s="29" t="n">
        <v>45766</v>
      </c>
      <c r="F48" s="29" t="n">
        <v>45814</v>
      </c>
      <c r="G48" s="28" t="inlineStr">
        <is>
          <t>F. Agyeman</t>
        </is>
      </c>
      <c r="H48" s="28" t="inlineStr">
        <is>
          <t>Engineering</t>
        </is>
      </c>
      <c r="I48" s="28" t="inlineStr">
        <is>
          <t>HME Workshop</t>
        </is>
      </c>
      <c r="J48" s="28" t="inlineStr">
        <is>
          <t>Low</t>
        </is>
      </c>
      <c r="K48" s="28" t="inlineStr">
        <is>
          <t>Closed</t>
        </is>
      </c>
      <c r="L48" s="30">
        <f>IF(AND([@Status]&lt;&gt;"Closed",[@Due]&lt;TODAY()),1,0)</f>
        <v/>
      </c>
      <c r="M48" s="30">
        <f>IF(AND([@Status]&lt;&gt;"Closed",[@Due]&lt;TODAY()),TODAY()-[@Due],0)</f>
        <v/>
      </c>
    </row>
    <row r="49">
      <c r="B49" s="28" t="inlineStr">
        <is>
          <t>CAR-0037</t>
        </is>
      </c>
      <c r="C49" s="28" t="inlineStr">
        <is>
          <t>INC-0085</t>
        </is>
      </c>
      <c r="D49" s="28" t="inlineStr">
        <is>
          <t>Corrective action for Property Damage at Elution &amp; Gold Room</t>
        </is>
      </c>
      <c r="E49" s="29" t="n">
        <v>45776</v>
      </c>
      <c r="F49" s="29" t="n">
        <v>45806</v>
      </c>
      <c r="G49" s="28" t="inlineStr">
        <is>
          <t>Y. Darko</t>
        </is>
      </c>
      <c r="H49" s="28" t="inlineStr">
        <is>
          <t>Processing</t>
        </is>
      </c>
      <c r="I49" s="28" t="inlineStr">
        <is>
          <t>Elution &amp; Gold Room</t>
        </is>
      </c>
      <c r="J49" s="28" t="inlineStr">
        <is>
          <t>Medium</t>
        </is>
      </c>
      <c r="K49" s="28" t="inlineStr">
        <is>
          <t>Closed</t>
        </is>
      </c>
      <c r="L49" s="30">
        <f>IF(AND([@Status]&lt;&gt;"Closed",[@Due]&lt;TODAY()),1,0)</f>
        <v/>
      </c>
      <c r="M49" s="30">
        <f>IF(AND([@Status]&lt;&gt;"Closed",[@Due]&lt;TODAY()),TODAY()-[@Due],0)</f>
        <v/>
      </c>
    </row>
    <row r="50">
      <c r="B50" s="28" t="inlineStr">
        <is>
          <t>CAR-0038</t>
        </is>
      </c>
      <c r="C50" s="28" t="inlineStr">
        <is>
          <t>INC-0088</t>
        </is>
      </c>
      <c r="D50" s="28" t="inlineStr">
        <is>
          <t>Corrective action for Environmental at Administration</t>
        </is>
      </c>
      <c r="E50" s="29" t="n">
        <v>45793</v>
      </c>
      <c r="F50" s="29" t="n">
        <v>45840</v>
      </c>
      <c r="G50" s="28" t="inlineStr">
        <is>
          <t>M. Quaye</t>
        </is>
      </c>
      <c r="H50" s="28" t="inlineStr">
        <is>
          <t>Administration</t>
        </is>
      </c>
      <c r="I50" s="28" t="inlineStr">
        <is>
          <t>Administration</t>
        </is>
      </c>
      <c r="J50" s="28" t="inlineStr">
        <is>
          <t>Medium</t>
        </is>
      </c>
      <c r="K50" s="28" t="inlineStr">
        <is>
          <t>Closed</t>
        </is>
      </c>
      <c r="L50" s="30">
        <f>IF(AND([@Status]&lt;&gt;"Closed",[@Due]&lt;TODAY()),1,0)</f>
        <v/>
      </c>
      <c r="M50" s="30">
        <f>IF(AND([@Status]&lt;&gt;"Closed",[@Due]&lt;TODAY()),TODAY()-[@Due],0)</f>
        <v/>
      </c>
    </row>
    <row r="51">
      <c r="B51" s="28" t="inlineStr">
        <is>
          <t>CAR-0039</t>
        </is>
      </c>
      <c r="C51" s="28" t="inlineStr">
        <is>
          <t>INC-0094</t>
        </is>
      </c>
      <c r="D51" s="28" t="inlineStr">
        <is>
          <t>Corrective action for Property Damage at Explosives Magazine</t>
        </is>
      </c>
      <c r="E51" s="29" t="n">
        <v>45822</v>
      </c>
      <c r="F51" s="29" t="n">
        <v>45848</v>
      </c>
      <c r="G51" s="28" t="inlineStr">
        <is>
          <t>Y. Darko</t>
        </is>
      </c>
      <c r="H51" s="28" t="inlineStr">
        <is>
          <t>Mining</t>
        </is>
      </c>
      <c r="I51" s="28" t="inlineStr">
        <is>
          <t>Explosives Magazine</t>
        </is>
      </c>
      <c r="J51" s="28" t="inlineStr">
        <is>
          <t>Critical</t>
        </is>
      </c>
      <c r="K51" s="28" t="inlineStr">
        <is>
          <t>Closed</t>
        </is>
      </c>
      <c r="L51" s="30">
        <f>IF(AND([@Status]&lt;&gt;"Closed",[@Due]&lt;TODAY()),1,0)</f>
        <v/>
      </c>
      <c r="M51" s="30">
        <f>IF(AND([@Status]&lt;&gt;"Closed",[@Due]&lt;TODAY()),TODAY()-[@Due],0)</f>
        <v/>
      </c>
    </row>
    <row r="52">
      <c r="B52" s="28" t="inlineStr">
        <is>
          <t>CAR-0040</t>
        </is>
      </c>
      <c r="C52" s="28" t="inlineStr">
        <is>
          <t>INC-0110</t>
        </is>
      </c>
      <c r="D52" s="28" t="inlineStr">
        <is>
          <t>Corrective action for Restricted Work at Esaase Open Pit</t>
        </is>
      </c>
      <c r="E52" s="29" t="n">
        <v>45886</v>
      </c>
      <c r="F52" s="29" t="n">
        <v>45920</v>
      </c>
      <c r="G52" s="28" t="inlineStr">
        <is>
          <t>F. Agyeman</t>
        </is>
      </c>
      <c r="H52" s="28" t="inlineStr">
        <is>
          <t>Mining</t>
        </is>
      </c>
      <c r="I52" s="28" t="inlineStr">
        <is>
          <t>Esaase Open Pit</t>
        </is>
      </c>
      <c r="J52" s="28" t="inlineStr">
        <is>
          <t>Medium</t>
        </is>
      </c>
      <c r="K52" s="28" t="inlineStr">
        <is>
          <t>Closed</t>
        </is>
      </c>
      <c r="L52" s="30">
        <f>IF(AND([@Status]&lt;&gt;"Closed",[@Due]&lt;TODAY()),1,0)</f>
        <v/>
      </c>
      <c r="M52" s="30">
        <f>IF(AND([@Status]&lt;&gt;"Closed",[@Due]&lt;TODAY()),TODAY()-[@Due],0)</f>
        <v/>
      </c>
    </row>
    <row r="53">
      <c r="B53" s="28" t="inlineStr">
        <is>
          <t>CAR-0041</t>
        </is>
      </c>
      <c r="C53" s="28" t="inlineStr">
        <is>
          <t>INC-0117</t>
        </is>
      </c>
      <c r="D53" s="28" t="inlineStr">
        <is>
          <t>Corrective action for Environmental at HME Workshop</t>
        </is>
      </c>
      <c r="E53" s="29" t="n">
        <v>45955</v>
      </c>
      <c r="F53" s="29" t="n">
        <v>45983</v>
      </c>
      <c r="G53" s="28" t="inlineStr">
        <is>
          <t>Y. Darko</t>
        </is>
      </c>
      <c r="H53" s="28" t="inlineStr">
        <is>
          <t>Engineering</t>
        </is>
      </c>
      <c r="I53" s="28" t="inlineStr">
        <is>
          <t>HME Workshop</t>
        </is>
      </c>
      <c r="J53" s="28" t="inlineStr">
        <is>
          <t>Low</t>
        </is>
      </c>
      <c r="K53" s="28" t="inlineStr">
        <is>
          <t>Closed</t>
        </is>
      </c>
      <c r="L53" s="30">
        <f>IF(AND([@Status]&lt;&gt;"Closed",[@Due]&lt;TODAY()),1,0)</f>
        <v/>
      </c>
      <c r="M53" s="30">
        <f>IF(AND([@Status]&lt;&gt;"Closed",[@Due]&lt;TODAY()),TODAY()-[@Due],0)</f>
        <v/>
      </c>
    </row>
    <row r="54">
      <c r="B54" s="28" t="inlineStr">
        <is>
          <t>CAR-0042</t>
        </is>
      </c>
      <c r="C54" s="28" t="inlineStr">
        <is>
          <t>INC-0119</t>
        </is>
      </c>
      <c r="D54" s="28" t="inlineStr">
        <is>
          <t>Corrective action for Medical Treatment at Security Gatehouse</t>
        </is>
      </c>
      <c r="E54" s="29" t="n">
        <v>45950</v>
      </c>
      <c r="F54" s="29" t="n">
        <v>45982</v>
      </c>
      <c r="G54" s="28" t="inlineStr">
        <is>
          <t>Y. Darko</t>
        </is>
      </c>
      <c r="H54" s="28" t="inlineStr">
        <is>
          <t>Security</t>
        </is>
      </c>
      <c r="I54" s="28" t="inlineStr">
        <is>
          <t>Security Gatehouse</t>
        </is>
      </c>
      <c r="J54" s="28" t="inlineStr">
        <is>
          <t>Critical</t>
        </is>
      </c>
      <c r="K54" s="28" t="inlineStr">
        <is>
          <t>Closed</t>
        </is>
      </c>
      <c r="L54" s="30">
        <f>IF(AND([@Status]&lt;&gt;"Closed",[@Due]&lt;TODAY()),1,0)</f>
        <v/>
      </c>
      <c r="M54" s="30">
        <f>IF(AND([@Status]&lt;&gt;"Closed",[@Due]&lt;TODAY()),TODAY()-[@Due],0)</f>
        <v/>
      </c>
    </row>
    <row r="55">
      <c r="B55" s="28" t="inlineStr">
        <is>
          <t>CAR-0043</t>
        </is>
      </c>
      <c r="C55" s="28" t="inlineStr">
        <is>
          <t>INC-0123</t>
        </is>
      </c>
      <c r="D55" s="28" t="inlineStr">
        <is>
          <t>Corrective action for Environmental at Water Treatment</t>
        </is>
      </c>
      <c r="E55" s="29" t="n">
        <v>45945</v>
      </c>
      <c r="F55" s="29" t="n">
        <v>45985</v>
      </c>
      <c r="G55" s="28" t="inlineStr">
        <is>
          <t>D. Tetteh</t>
        </is>
      </c>
      <c r="H55" s="28" t="inlineStr">
        <is>
          <t>Environment</t>
        </is>
      </c>
      <c r="I55" s="28" t="inlineStr">
        <is>
          <t>Water Treatment</t>
        </is>
      </c>
      <c r="J55" s="28" t="inlineStr">
        <is>
          <t>Low</t>
        </is>
      </c>
      <c r="K55" s="28" t="inlineStr">
        <is>
          <t>Closed</t>
        </is>
      </c>
      <c r="L55" s="30">
        <f>IF(AND([@Status]&lt;&gt;"Closed",[@Due]&lt;TODAY()),1,0)</f>
        <v/>
      </c>
      <c r="M55" s="30">
        <f>IF(AND([@Status]&lt;&gt;"Closed",[@Due]&lt;TODAY()),TODAY()-[@Due],0)</f>
        <v/>
      </c>
    </row>
    <row r="56">
      <c r="B56" s="28" t="inlineStr">
        <is>
          <t>CAR-0044</t>
        </is>
      </c>
      <c r="C56" s="28" t="inlineStr">
        <is>
          <t>INC-0142</t>
        </is>
      </c>
      <c r="D56" s="28" t="inlineStr">
        <is>
          <t>Corrective action for Restricted Work at Haul Roads</t>
        </is>
      </c>
      <c r="E56" s="29" t="n">
        <v>46080</v>
      </c>
      <c r="F56" s="29" t="n">
        <v>46101</v>
      </c>
      <c r="G56" s="28" t="inlineStr">
        <is>
          <t>J. Boateng</t>
        </is>
      </c>
      <c r="H56" s="28" t="inlineStr">
        <is>
          <t>Mining</t>
        </is>
      </c>
      <c r="I56" s="28" t="inlineStr">
        <is>
          <t>Haul Roads</t>
        </is>
      </c>
      <c r="J56" s="28" t="inlineStr">
        <is>
          <t>High</t>
        </is>
      </c>
      <c r="K56" s="28" t="inlineStr">
        <is>
          <t>Closed</t>
        </is>
      </c>
      <c r="L56" s="30">
        <f>IF(AND([@Status]&lt;&gt;"Closed",[@Due]&lt;TODAY()),1,0)</f>
        <v/>
      </c>
      <c r="M56" s="30">
        <f>IF(AND([@Status]&lt;&gt;"Closed",[@Due]&lt;TODAY()),TODAY()-[@Due],0)</f>
        <v/>
      </c>
    </row>
    <row r="57">
      <c r="B57" s="28" t="inlineStr">
        <is>
          <t>CAR-0045</t>
        </is>
      </c>
      <c r="C57" s="28" t="inlineStr">
        <is>
          <t>INC-0143</t>
        </is>
      </c>
      <c r="D57" s="28" t="inlineStr">
        <is>
          <t>Corrective action for Medical Treatment at Drill &amp; Blast</t>
        </is>
      </c>
      <c r="E57" s="29" t="n">
        <v>46061</v>
      </c>
      <c r="F57" s="29" t="n">
        <v>46118</v>
      </c>
      <c r="G57" s="28" t="inlineStr">
        <is>
          <t>S. Addo</t>
        </is>
      </c>
      <c r="H57" s="28" t="inlineStr">
        <is>
          <t>Mining</t>
        </is>
      </c>
      <c r="I57" s="28" t="inlineStr">
        <is>
          <t>Drill &amp; Blast</t>
        </is>
      </c>
      <c r="J57" s="28" t="inlineStr">
        <is>
          <t>Medium</t>
        </is>
      </c>
      <c r="K57" s="28" t="inlineStr">
        <is>
          <t>In Progress</t>
        </is>
      </c>
      <c r="L57" s="30">
        <f>IF(AND([@Status]&lt;&gt;"Closed",[@Due]&lt;TODAY()),1,0)</f>
        <v/>
      </c>
      <c r="M57" s="30">
        <f>IF(AND([@Status]&lt;&gt;"Closed",[@Due]&lt;TODAY()),TODAY()-[@Due],0)</f>
        <v/>
      </c>
    </row>
    <row r="58">
      <c r="B58" s="28" t="inlineStr">
        <is>
          <t>CAR-0046</t>
        </is>
      </c>
      <c r="C58" s="28" t="inlineStr">
        <is>
          <t>INC-0145</t>
        </is>
      </c>
      <c r="D58" s="28" t="inlineStr">
        <is>
          <t>Corrective action for Environmental at Warehouse &amp; Stores</t>
        </is>
      </c>
      <c r="E58" s="29" t="n">
        <v>46077</v>
      </c>
      <c r="F58" s="29" t="n">
        <v>46123</v>
      </c>
      <c r="G58" s="28" t="inlineStr">
        <is>
          <t>Y. Darko</t>
        </is>
      </c>
      <c r="H58" s="28" t="inlineStr">
        <is>
          <t>Logistics</t>
        </is>
      </c>
      <c r="I58" s="28" t="inlineStr">
        <is>
          <t>Warehouse &amp; Stores</t>
        </is>
      </c>
      <c r="J58" s="28" t="inlineStr">
        <is>
          <t>High</t>
        </is>
      </c>
      <c r="K58" s="28" t="inlineStr">
        <is>
          <t>Closed</t>
        </is>
      </c>
      <c r="L58" s="30">
        <f>IF(AND([@Status]&lt;&gt;"Closed",[@Due]&lt;TODAY()),1,0)</f>
        <v/>
      </c>
      <c r="M58" s="30">
        <f>IF(AND([@Status]&lt;&gt;"Closed",[@Due]&lt;TODAY()),TODAY()-[@Due],0)</f>
        <v/>
      </c>
    </row>
    <row r="59">
      <c r="B59" s="28" t="inlineStr">
        <is>
          <t>CAR-0047</t>
        </is>
      </c>
      <c r="C59" s="28" t="inlineStr">
        <is>
          <t>INC-0148</t>
        </is>
      </c>
      <c r="D59" s="28" t="inlineStr">
        <is>
          <t>Corrective action for Property Damage at Drill &amp; Blast</t>
        </is>
      </c>
      <c r="E59" s="29" t="n">
        <v>46088</v>
      </c>
      <c r="F59" s="29" t="n">
        <v>46121</v>
      </c>
      <c r="G59" s="28" t="inlineStr">
        <is>
          <t>M. Quaye</t>
        </is>
      </c>
      <c r="H59" s="28" t="inlineStr">
        <is>
          <t>Mining</t>
        </is>
      </c>
      <c r="I59" s="28" t="inlineStr">
        <is>
          <t>Drill &amp; Blast</t>
        </is>
      </c>
      <c r="J59" s="28" t="inlineStr">
        <is>
          <t>Low</t>
        </is>
      </c>
      <c r="K59" s="28" t="inlineStr">
        <is>
          <t>In Progress</t>
        </is>
      </c>
      <c r="L59" s="30">
        <f>IF(AND([@Status]&lt;&gt;"Closed",[@Due]&lt;TODAY()),1,0)</f>
        <v/>
      </c>
      <c r="M59" s="30">
        <f>IF(AND([@Status]&lt;&gt;"Closed",[@Due]&lt;TODAY()),TODAY()-[@Due],0)</f>
        <v/>
      </c>
    </row>
    <row r="60">
      <c r="B60" s="28" t="inlineStr">
        <is>
          <t>CAR-0048</t>
        </is>
      </c>
      <c r="C60" s="28" t="inlineStr">
        <is>
          <t>INC-0149</t>
        </is>
      </c>
      <c r="D60" s="28" t="inlineStr">
        <is>
          <t>Corrective action for Property Damage at Tailings Storage Facility</t>
        </is>
      </c>
      <c r="E60" s="29" t="n">
        <v>46085</v>
      </c>
      <c r="F60" s="29" t="n">
        <v>46123</v>
      </c>
      <c r="G60" s="28" t="inlineStr">
        <is>
          <t>Y. Darko</t>
        </is>
      </c>
      <c r="H60" s="28" t="inlineStr">
        <is>
          <t>Environment</t>
        </is>
      </c>
      <c r="I60" s="28" t="inlineStr">
        <is>
          <t>Tailings Storage Facility</t>
        </is>
      </c>
      <c r="J60" s="28" t="inlineStr">
        <is>
          <t>Critical</t>
        </is>
      </c>
      <c r="K60" s="28" t="inlineStr">
        <is>
          <t>Closed</t>
        </is>
      </c>
      <c r="L60" s="30">
        <f>IF(AND([@Status]&lt;&gt;"Closed",[@Due]&lt;TODAY()),1,0)</f>
        <v/>
      </c>
      <c r="M60" s="30">
        <f>IF(AND([@Status]&lt;&gt;"Closed",[@Due]&lt;TODAY()),TODAY()-[@Due],0)</f>
        <v/>
      </c>
    </row>
    <row r="61">
      <c r="B61" s="28" t="inlineStr">
        <is>
          <t>CAR-0049</t>
        </is>
      </c>
      <c r="C61" s="28" t="inlineStr">
        <is>
          <t>INC-0150</t>
        </is>
      </c>
      <c r="D61" s="28" t="inlineStr">
        <is>
          <t>Corrective action for Environmental at Haul Roads</t>
        </is>
      </c>
      <c r="E61" s="29" t="n">
        <v>46100</v>
      </c>
      <c r="F61" s="29" t="n">
        <v>46127</v>
      </c>
      <c r="G61" s="28" t="inlineStr">
        <is>
          <t>M. Quaye</t>
        </is>
      </c>
      <c r="H61" s="28" t="inlineStr">
        <is>
          <t>Mining</t>
        </is>
      </c>
      <c r="I61" s="28" t="inlineStr">
        <is>
          <t>Haul Roads</t>
        </is>
      </c>
      <c r="J61" s="28" t="inlineStr">
        <is>
          <t>Critical</t>
        </is>
      </c>
      <c r="K61" s="28" t="inlineStr">
        <is>
          <t>Closed</t>
        </is>
      </c>
      <c r="L61" s="30">
        <f>IF(AND([@Status]&lt;&gt;"Closed",[@Due]&lt;TODAY()),1,0)</f>
        <v/>
      </c>
      <c r="M61" s="30">
        <f>IF(AND([@Status]&lt;&gt;"Closed",[@Due]&lt;TODAY()),TODAY()-[@Due],0)</f>
        <v/>
      </c>
    </row>
    <row r="62">
      <c r="B62" s="28" t="inlineStr">
        <is>
          <t>CAR-0050</t>
        </is>
      </c>
      <c r="C62" s="28" t="inlineStr">
        <is>
          <t>INC-0151</t>
        </is>
      </c>
      <c r="D62" s="28" t="inlineStr">
        <is>
          <t>Corrective action for Lost Time Injury at Power Station</t>
        </is>
      </c>
      <c r="E62" s="29" t="n">
        <v>46123</v>
      </c>
      <c r="F62" s="29" t="n">
        <v>46155</v>
      </c>
      <c r="G62" s="28" t="inlineStr">
        <is>
          <t>S. Addo</t>
        </is>
      </c>
      <c r="H62" s="28" t="inlineStr">
        <is>
          <t>Engineering</t>
        </is>
      </c>
      <c r="I62" s="28" t="inlineStr">
        <is>
          <t>Power Station</t>
        </is>
      </c>
      <c r="J62" s="28" t="inlineStr">
        <is>
          <t>High</t>
        </is>
      </c>
      <c r="K62" s="28" t="inlineStr">
        <is>
          <t>Due Soon</t>
        </is>
      </c>
      <c r="L62" s="30">
        <f>IF(AND([@Status]&lt;&gt;"Closed",[@Due]&lt;TODAY()),1,0)</f>
        <v/>
      </c>
      <c r="M62" s="30">
        <f>IF(AND([@Status]&lt;&gt;"Closed",[@Due]&lt;TODAY()),TODAY()-[@Due],0)</f>
        <v/>
      </c>
    </row>
    <row r="63">
      <c r="B63" s="28" t="inlineStr">
        <is>
          <t>CAR-0051</t>
        </is>
      </c>
      <c r="C63" s="28" t="inlineStr">
        <is>
          <t>INC-0153</t>
        </is>
      </c>
      <c r="D63" s="28" t="inlineStr">
        <is>
          <t>Corrective action for Medical Treatment at Power Station</t>
        </is>
      </c>
      <c r="E63" s="29" t="n">
        <v>46134</v>
      </c>
      <c r="F63" s="29" t="n">
        <v>46157</v>
      </c>
      <c r="G63" s="28" t="inlineStr">
        <is>
          <t>F. Agyeman</t>
        </is>
      </c>
      <c r="H63" s="28" t="inlineStr">
        <is>
          <t>Engineering</t>
        </is>
      </c>
      <c r="I63" s="28" t="inlineStr">
        <is>
          <t>Power Station</t>
        </is>
      </c>
      <c r="J63" s="28" t="inlineStr">
        <is>
          <t>Medium</t>
        </is>
      </c>
      <c r="K63" s="28" t="inlineStr">
        <is>
          <t>In Progress</t>
        </is>
      </c>
      <c r="L63" s="30">
        <f>IF(AND([@Status]&lt;&gt;"Closed",[@Due]&lt;TODAY()),1,0)</f>
        <v/>
      </c>
      <c r="M63" s="30">
        <f>IF(AND([@Status]&lt;&gt;"Closed",[@Due]&lt;TODAY()),TODAY()-[@Due],0)</f>
        <v/>
      </c>
    </row>
    <row r="64">
      <c r="B64" s="28" t="inlineStr">
        <is>
          <t>CAR-0052</t>
        </is>
      </c>
      <c r="C64" s="28" t="inlineStr">
        <is>
          <t>INC-0154</t>
        </is>
      </c>
      <c r="D64" s="28" t="inlineStr">
        <is>
          <t>Corrective action for Property Damage at Power Station</t>
        </is>
      </c>
      <c r="E64" s="29" t="n">
        <v>46122</v>
      </c>
      <c r="F64" s="29" t="n">
        <v>46148</v>
      </c>
      <c r="G64" s="28" t="inlineStr">
        <is>
          <t>J. Boateng</t>
        </is>
      </c>
      <c r="H64" s="28" t="inlineStr">
        <is>
          <t>Engineering</t>
        </is>
      </c>
      <c r="I64" s="28" t="inlineStr">
        <is>
          <t>Power Station</t>
        </is>
      </c>
      <c r="J64" s="28" t="inlineStr">
        <is>
          <t>Medium</t>
        </is>
      </c>
      <c r="K64" s="28" t="inlineStr">
        <is>
          <t>Open</t>
        </is>
      </c>
      <c r="L64" s="30">
        <f>IF(AND([@Status]&lt;&gt;"Closed",[@Due]&lt;TODAY()),1,0)</f>
        <v/>
      </c>
      <c r="M64" s="30">
        <f>IF(AND([@Status]&lt;&gt;"Closed",[@Due]&lt;TODAY()),TODAY()-[@Due],0)</f>
        <v/>
      </c>
    </row>
    <row r="65">
      <c r="B65" s="28" t="inlineStr">
        <is>
          <t>CAR-0053</t>
        </is>
      </c>
      <c r="C65" s="28" t="inlineStr">
        <is>
          <t>INC-0156</t>
        </is>
      </c>
      <c r="D65" s="28" t="inlineStr">
        <is>
          <t>Corrective action for Property Damage at Security Gatehouse</t>
        </is>
      </c>
      <c r="E65" s="29" t="n">
        <v>46123</v>
      </c>
      <c r="F65" s="29" t="n">
        <v>46170</v>
      </c>
      <c r="G65" s="28" t="inlineStr">
        <is>
          <t>Y. Darko</t>
        </is>
      </c>
      <c r="H65" s="28" t="inlineStr">
        <is>
          <t>Security</t>
        </is>
      </c>
      <c r="I65" s="28" t="inlineStr">
        <is>
          <t>Security Gatehouse</t>
        </is>
      </c>
      <c r="J65" s="28" t="inlineStr">
        <is>
          <t>High</t>
        </is>
      </c>
      <c r="K65" s="28" t="inlineStr">
        <is>
          <t>In Progress</t>
        </is>
      </c>
      <c r="L65" s="30">
        <f>IF(AND([@Status]&lt;&gt;"Closed",[@Due]&lt;TODAY()),1,0)</f>
        <v/>
      </c>
      <c r="M65" s="30">
        <f>IF(AND([@Status]&lt;&gt;"Closed",[@Due]&lt;TODAY()),TODAY()-[@Due],0)</f>
        <v/>
      </c>
    </row>
    <row r="66">
      <c r="B66" s="28" t="inlineStr">
        <is>
          <t>CAR-0054</t>
        </is>
      </c>
      <c r="C66" s="28" t="inlineStr">
        <is>
          <t>INC-0157</t>
        </is>
      </c>
      <c r="D66" s="28" t="inlineStr">
        <is>
          <t>Corrective action for Environmental at Elution &amp; Gold Room</t>
        </is>
      </c>
      <c r="E66" s="29" t="n">
        <v>46130</v>
      </c>
      <c r="F66" s="29" t="n">
        <v>46189</v>
      </c>
      <c r="G66" s="28" t="inlineStr">
        <is>
          <t>E. Asante</t>
        </is>
      </c>
      <c r="H66" s="28" t="inlineStr">
        <is>
          <t>Processing</t>
        </is>
      </c>
      <c r="I66" s="28" t="inlineStr">
        <is>
          <t>Elution &amp; Gold Room</t>
        </is>
      </c>
      <c r="J66" s="28" t="inlineStr">
        <is>
          <t>Medium</t>
        </is>
      </c>
      <c r="K66" s="28" t="inlineStr">
        <is>
          <t>Closed</t>
        </is>
      </c>
      <c r="L66" s="30">
        <f>IF(AND([@Status]&lt;&gt;"Closed",[@Due]&lt;TODAY()),1,0)</f>
        <v/>
      </c>
      <c r="M66" s="30">
        <f>IF(AND([@Status]&lt;&gt;"Closed",[@Due]&lt;TODAY()),TODAY()-[@Due],0)</f>
        <v/>
      </c>
    </row>
    <row r="67">
      <c r="B67" s="28" t="inlineStr">
        <is>
          <t>CAR-0055</t>
        </is>
      </c>
      <c r="C67" s="28" t="inlineStr">
        <is>
          <t>INC-0166</t>
        </is>
      </c>
      <c r="D67" s="28" t="inlineStr">
        <is>
          <t>Corrective action for Lost Time Injury at Water Treatment</t>
        </is>
      </c>
      <c r="E67" s="29" t="n">
        <v>46168</v>
      </c>
      <c r="F67" s="29" t="n">
        <v>46183</v>
      </c>
      <c r="G67" s="28" t="inlineStr">
        <is>
          <t>K. Mensah</t>
        </is>
      </c>
      <c r="H67" s="28" t="inlineStr">
        <is>
          <t>Environment</t>
        </is>
      </c>
      <c r="I67" s="28" t="inlineStr">
        <is>
          <t>Water Treatment</t>
        </is>
      </c>
      <c r="J67" s="28" t="inlineStr">
        <is>
          <t>Medium</t>
        </is>
      </c>
      <c r="K67" s="28" t="inlineStr">
        <is>
          <t>Closed</t>
        </is>
      </c>
      <c r="L67" s="30">
        <f>IF(AND([@Status]&lt;&gt;"Closed",[@Due]&lt;TODAY()),1,0)</f>
        <v/>
      </c>
      <c r="M67" s="30">
        <f>IF(AND([@Status]&lt;&gt;"Closed",[@Due]&lt;TODAY()),TODAY()-[@Due],0)</f>
        <v/>
      </c>
    </row>
    <row r="68">
      <c r="B68" s="28" t="inlineStr">
        <is>
          <t>CAR-0056</t>
        </is>
      </c>
      <c r="C68" s="28" t="inlineStr">
        <is>
          <t>Inspection/Audit</t>
        </is>
      </c>
      <c r="D68" s="28" t="inlineStr">
        <is>
          <t>Update SOP / JSA</t>
        </is>
      </c>
      <c r="E68" s="29" t="n">
        <v>46044</v>
      </c>
      <c r="F68" s="29" t="n">
        <v>46082</v>
      </c>
      <c r="G68" s="28" t="inlineStr">
        <is>
          <t>K. Mensah</t>
        </is>
      </c>
      <c r="H68" s="28" t="inlineStr">
        <is>
          <t>Engineering</t>
        </is>
      </c>
      <c r="I68" s="28" t="inlineStr">
        <is>
          <t>Fuel Farm</t>
        </is>
      </c>
      <c r="J68" s="28" t="inlineStr">
        <is>
          <t>Low</t>
        </is>
      </c>
      <c r="K68" s="28" t="inlineStr">
        <is>
          <t>Closed</t>
        </is>
      </c>
      <c r="L68" s="30">
        <f>IF(AND([@Status]&lt;&gt;"Closed",[@Due]&lt;TODAY()),1,0)</f>
        <v/>
      </c>
      <c r="M68" s="30">
        <f>IF(AND([@Status]&lt;&gt;"Closed",[@Due]&lt;TODAY()),TODAY()-[@Due],0)</f>
        <v/>
      </c>
    </row>
    <row r="69">
      <c r="B69" s="28" t="inlineStr">
        <is>
          <t>CAR-0057</t>
        </is>
      </c>
      <c r="C69" s="28" t="inlineStr">
        <is>
          <t>Inspection/Audit</t>
        </is>
      </c>
      <c r="D69" s="28" t="inlineStr">
        <is>
          <t>Lighting upgrade</t>
        </is>
      </c>
      <c r="E69" s="29" t="n">
        <v>46045</v>
      </c>
      <c r="F69" s="29" t="n">
        <v>46066</v>
      </c>
      <c r="G69" s="28" t="inlineStr">
        <is>
          <t>P. Annan</t>
        </is>
      </c>
      <c r="H69" s="28" t="inlineStr">
        <is>
          <t>Engineering</t>
        </is>
      </c>
      <c r="I69" s="28" t="inlineStr">
        <is>
          <t>Fuel Farm</t>
        </is>
      </c>
      <c r="J69" s="28" t="inlineStr">
        <is>
          <t>High</t>
        </is>
      </c>
      <c r="K69" s="28" t="inlineStr">
        <is>
          <t>Closed</t>
        </is>
      </c>
      <c r="L69" s="30">
        <f>IF(AND([@Status]&lt;&gt;"Closed",[@Due]&lt;TODAY()),1,0)</f>
        <v/>
      </c>
      <c r="M69" s="30">
        <f>IF(AND([@Status]&lt;&gt;"Closed",[@Due]&lt;TODAY()),TODAY()-[@Due],0)</f>
        <v/>
      </c>
    </row>
    <row r="70">
      <c r="B70" s="28" t="inlineStr">
        <is>
          <t>CAR-0058</t>
        </is>
      </c>
      <c r="C70" s="28" t="inlineStr">
        <is>
          <t>Inspection/Audit</t>
        </is>
      </c>
      <c r="D70" s="28" t="inlineStr">
        <is>
          <t>Install machine guard</t>
        </is>
      </c>
      <c r="E70" s="29" t="n">
        <v>46135</v>
      </c>
      <c r="F70" s="29" t="n">
        <v>46191</v>
      </c>
      <c r="G70" s="28" t="inlineStr">
        <is>
          <t>M. Quaye</t>
        </is>
      </c>
      <c r="H70" s="28" t="inlineStr">
        <is>
          <t>Environment</t>
        </is>
      </c>
      <c r="I70" s="28" t="inlineStr">
        <is>
          <t>Tailings Storage Facility</t>
        </is>
      </c>
      <c r="J70" s="28" t="inlineStr">
        <is>
          <t>Critical</t>
        </is>
      </c>
      <c r="K70" s="28" t="inlineStr">
        <is>
          <t>In Progress</t>
        </is>
      </c>
      <c r="L70" s="30">
        <f>IF(AND([@Status]&lt;&gt;"Closed",[@Due]&lt;TODAY()),1,0)</f>
        <v/>
      </c>
      <c r="M70" s="30">
        <f>IF(AND([@Status]&lt;&gt;"Closed",[@Due]&lt;TODAY()),TODAY()-[@Due],0)</f>
        <v/>
      </c>
    </row>
    <row r="71">
      <c r="B71" s="28" t="inlineStr">
        <is>
          <t>CAR-0059</t>
        </is>
      </c>
      <c r="C71" s="28" t="inlineStr">
        <is>
          <t>Inspection/Audit</t>
        </is>
      </c>
      <c r="D71" s="28" t="inlineStr">
        <is>
          <t>Housekeeping campaign</t>
        </is>
      </c>
      <c r="E71" s="29" t="n">
        <v>46013</v>
      </c>
      <c r="F71" s="29" t="n">
        <v>46081</v>
      </c>
      <c r="G71" s="28" t="inlineStr">
        <is>
          <t>F. Agyeman</t>
        </is>
      </c>
      <c r="H71" s="28" t="inlineStr">
        <is>
          <t>Engineering</t>
        </is>
      </c>
      <c r="I71" s="28" t="inlineStr">
        <is>
          <t>Power Station</t>
        </is>
      </c>
      <c r="J71" s="28" t="inlineStr">
        <is>
          <t>Low</t>
        </is>
      </c>
      <c r="K71" s="28" t="inlineStr">
        <is>
          <t>Due Soon</t>
        </is>
      </c>
      <c r="L71" s="30">
        <f>IF(AND([@Status]&lt;&gt;"Closed",[@Due]&lt;TODAY()),1,0)</f>
        <v/>
      </c>
      <c r="M71" s="30">
        <f>IF(AND([@Status]&lt;&gt;"Closed",[@Due]&lt;TODAY()),TODAY()-[@Due],0)</f>
        <v/>
      </c>
    </row>
    <row r="72">
      <c r="B72" s="28" t="inlineStr">
        <is>
          <t>CAR-0060</t>
        </is>
      </c>
      <c r="C72" s="28" t="inlineStr">
        <is>
          <t>Inspection/Audit</t>
        </is>
      </c>
      <c r="D72" s="28" t="inlineStr">
        <is>
          <t>Housekeeping campaign</t>
        </is>
      </c>
      <c r="E72" s="29" t="n">
        <v>46057</v>
      </c>
      <c r="F72" s="29" t="n">
        <v>46112</v>
      </c>
      <c r="G72" s="28" t="inlineStr">
        <is>
          <t>J. Boateng</t>
        </is>
      </c>
      <c r="H72" s="28" t="inlineStr">
        <is>
          <t>Processing</t>
        </is>
      </c>
      <c r="I72" s="28" t="inlineStr">
        <is>
          <t>Crushing Circuit</t>
        </is>
      </c>
      <c r="J72" s="28" t="inlineStr">
        <is>
          <t>Low</t>
        </is>
      </c>
      <c r="K72" s="28" t="inlineStr">
        <is>
          <t>In Progress</t>
        </is>
      </c>
      <c r="L72" s="30">
        <f>IF(AND([@Status]&lt;&gt;"Closed",[@Due]&lt;TODAY()),1,0)</f>
        <v/>
      </c>
      <c r="M72" s="30">
        <f>IF(AND([@Status]&lt;&gt;"Closed",[@Due]&lt;TODAY()),TODAY()-[@Due],0)</f>
        <v/>
      </c>
    </row>
    <row r="73">
      <c r="B73" s="28" t="inlineStr">
        <is>
          <t>CAR-0061</t>
        </is>
      </c>
      <c r="C73" s="28" t="inlineStr">
        <is>
          <t>Inspection/Audit</t>
        </is>
      </c>
      <c r="D73" s="28" t="inlineStr">
        <is>
          <t>Improve signage</t>
        </is>
      </c>
      <c r="E73" s="29" t="n">
        <v>46110</v>
      </c>
      <c r="F73" s="29" t="n">
        <v>46135</v>
      </c>
      <c r="G73" s="28" t="inlineStr">
        <is>
          <t>D. Tetteh</t>
        </is>
      </c>
      <c r="H73" s="28" t="inlineStr">
        <is>
          <t>Security</t>
        </is>
      </c>
      <c r="I73" s="28" t="inlineStr">
        <is>
          <t>Security Gatehouse</t>
        </is>
      </c>
      <c r="J73" s="28" t="inlineStr">
        <is>
          <t>Medium</t>
        </is>
      </c>
      <c r="K73" s="28" t="inlineStr">
        <is>
          <t>Due Soon</t>
        </is>
      </c>
      <c r="L73" s="30">
        <f>IF(AND([@Status]&lt;&gt;"Closed",[@Due]&lt;TODAY()),1,0)</f>
        <v/>
      </c>
      <c r="M73" s="30">
        <f>IF(AND([@Status]&lt;&gt;"Closed",[@Due]&lt;TODAY()),TODAY()-[@Due],0)</f>
        <v/>
      </c>
    </row>
    <row r="74">
      <c r="B74" s="28" t="inlineStr">
        <is>
          <t>CAR-0062</t>
        </is>
      </c>
      <c r="C74" s="28" t="inlineStr">
        <is>
          <t>Inspection/Audit</t>
        </is>
      </c>
      <c r="D74" s="28" t="inlineStr">
        <is>
          <t>Repair edge protection</t>
        </is>
      </c>
      <c r="E74" s="29" t="n">
        <v>46012</v>
      </c>
      <c r="F74" s="29" t="n">
        <v>46061</v>
      </c>
      <c r="G74" s="28" t="inlineStr">
        <is>
          <t>J. Boateng</t>
        </is>
      </c>
      <c r="H74" s="28" t="inlineStr">
        <is>
          <t>Processing</t>
        </is>
      </c>
      <c r="I74" s="28" t="inlineStr">
        <is>
          <t>Processing Plant (CIL)</t>
        </is>
      </c>
      <c r="J74" s="28" t="inlineStr">
        <is>
          <t>Low</t>
        </is>
      </c>
      <c r="K74" s="28" t="inlineStr">
        <is>
          <t>Closed</t>
        </is>
      </c>
      <c r="L74" s="30">
        <f>IF(AND([@Status]&lt;&gt;"Closed",[@Due]&lt;TODAY()),1,0)</f>
        <v/>
      </c>
      <c r="M74" s="30">
        <f>IF(AND([@Status]&lt;&gt;"Closed",[@Due]&lt;TODAY()),TODAY()-[@Due],0)</f>
        <v/>
      </c>
    </row>
    <row r="75">
      <c r="B75" s="28" t="inlineStr">
        <is>
          <t>CAR-0063</t>
        </is>
      </c>
      <c r="C75" s="28" t="inlineStr">
        <is>
          <t>Inspection/Audit</t>
        </is>
      </c>
      <c r="D75" s="28" t="inlineStr">
        <is>
          <t>Update SOP / JSA</t>
        </is>
      </c>
      <c r="E75" s="29" t="n">
        <v>46167</v>
      </c>
      <c r="F75" s="29" t="n">
        <v>46226</v>
      </c>
      <c r="G75" s="28" t="inlineStr">
        <is>
          <t>Y. Darko</t>
        </is>
      </c>
      <c r="H75" s="28" t="inlineStr">
        <is>
          <t>Laboratory</t>
        </is>
      </c>
      <c r="I75" s="28" t="inlineStr">
        <is>
          <t>Assay Laboratory</t>
        </is>
      </c>
      <c r="J75" s="28" t="inlineStr">
        <is>
          <t>Low</t>
        </is>
      </c>
      <c r="K75" s="28" t="inlineStr">
        <is>
          <t>Closed</t>
        </is>
      </c>
      <c r="L75" s="30">
        <f>IF(AND([@Status]&lt;&gt;"Closed",[@Due]&lt;TODAY()),1,0)</f>
        <v/>
      </c>
      <c r="M75" s="30">
        <f>IF(AND([@Status]&lt;&gt;"Closed",[@Due]&lt;TODAY()),TODAY()-[@Due],0)</f>
        <v/>
      </c>
    </row>
    <row r="76">
      <c r="B76" s="28" t="inlineStr">
        <is>
          <t>CAR-0064</t>
        </is>
      </c>
      <c r="C76" s="28" t="inlineStr">
        <is>
          <t>Inspection/Audit</t>
        </is>
      </c>
      <c r="D76" s="28" t="inlineStr">
        <is>
          <t>Housekeeping campaign</t>
        </is>
      </c>
      <c r="E76" s="29" t="n">
        <v>46143</v>
      </c>
      <c r="F76" s="29" t="n">
        <v>46166</v>
      </c>
      <c r="G76" s="28" t="inlineStr">
        <is>
          <t>Y. Darko</t>
        </is>
      </c>
      <c r="H76" s="28" t="inlineStr">
        <is>
          <t>Engineering</t>
        </is>
      </c>
      <c r="I76" s="28" t="inlineStr">
        <is>
          <t>HME Workshop</t>
        </is>
      </c>
      <c r="J76" s="28" t="inlineStr">
        <is>
          <t>Medium</t>
        </is>
      </c>
      <c r="K76" s="28" t="inlineStr">
        <is>
          <t>Closed</t>
        </is>
      </c>
      <c r="L76" s="30">
        <f>IF(AND([@Status]&lt;&gt;"Closed",[@Due]&lt;TODAY()),1,0)</f>
        <v/>
      </c>
      <c r="M76" s="30">
        <f>IF(AND([@Status]&lt;&gt;"Closed",[@Due]&lt;TODAY()),TODAY()-[@Due],0)</f>
        <v/>
      </c>
    </row>
    <row r="77">
      <c r="B77" s="28" t="inlineStr">
        <is>
          <t>CAR-0065</t>
        </is>
      </c>
      <c r="C77" s="28" t="inlineStr">
        <is>
          <t>Inspection/Audit</t>
        </is>
      </c>
      <c r="D77" s="28" t="inlineStr">
        <is>
          <t>Repair edge protection</t>
        </is>
      </c>
      <c r="E77" s="29" t="n">
        <v>45994</v>
      </c>
      <c r="F77" s="29" t="n">
        <v>46059</v>
      </c>
      <c r="G77" s="28" t="inlineStr">
        <is>
          <t>P. Annan</t>
        </is>
      </c>
      <c r="H77" s="28" t="inlineStr">
        <is>
          <t>Logistics</t>
        </is>
      </c>
      <c r="I77" s="28" t="inlineStr">
        <is>
          <t>Warehouse &amp; Stores</t>
        </is>
      </c>
      <c r="J77" s="28" t="inlineStr">
        <is>
          <t>Medium</t>
        </is>
      </c>
      <c r="K77" s="28" t="inlineStr">
        <is>
          <t>Open</t>
        </is>
      </c>
      <c r="L77" s="30">
        <f>IF(AND([@Status]&lt;&gt;"Closed",[@Due]&lt;TODAY()),1,0)</f>
        <v/>
      </c>
      <c r="M77" s="30">
        <f>IF(AND([@Status]&lt;&gt;"Closed",[@Due]&lt;TODAY()),TODAY()-[@Due],0)</f>
        <v/>
      </c>
    </row>
    <row r="78">
      <c r="B78" s="28" t="inlineStr">
        <is>
          <t>CAR-0066</t>
        </is>
      </c>
      <c r="C78" s="28" t="inlineStr">
        <is>
          <t>Inspection/Audit</t>
        </is>
      </c>
      <c r="D78" s="28" t="inlineStr">
        <is>
          <t>Repair edge protection</t>
        </is>
      </c>
      <c r="E78" s="29" t="n">
        <v>46148</v>
      </c>
      <c r="F78" s="29" t="n">
        <v>46177</v>
      </c>
      <c r="G78" s="28" t="inlineStr">
        <is>
          <t>A. Owusu</t>
        </is>
      </c>
      <c r="H78" s="28" t="inlineStr">
        <is>
          <t>Logistics</t>
        </is>
      </c>
      <c r="I78" s="28" t="inlineStr">
        <is>
          <t>Warehouse &amp; Stores</t>
        </is>
      </c>
      <c r="J78" s="28" t="inlineStr">
        <is>
          <t>Medium</t>
        </is>
      </c>
      <c r="K78" s="28" t="inlineStr">
        <is>
          <t>Closed</t>
        </is>
      </c>
      <c r="L78" s="30">
        <f>IF(AND([@Status]&lt;&gt;"Closed",[@Due]&lt;TODAY()),1,0)</f>
        <v/>
      </c>
      <c r="M78" s="30">
        <f>IF(AND([@Status]&lt;&gt;"Closed",[@Due]&lt;TODAY()),TODAY()-[@Due],0)</f>
        <v/>
      </c>
    </row>
    <row r="79">
      <c r="B79" s="28" t="inlineStr">
        <is>
          <t>CAR-0067</t>
        </is>
      </c>
      <c r="C79" s="28" t="inlineStr">
        <is>
          <t>Inspection/Audit</t>
        </is>
      </c>
      <c r="D79" s="28" t="inlineStr">
        <is>
          <t>Housekeeping campaign</t>
        </is>
      </c>
      <c r="E79" s="29" t="n">
        <v>46022</v>
      </c>
      <c r="F79" s="29" t="n">
        <v>46043</v>
      </c>
      <c r="G79" s="28" t="inlineStr">
        <is>
          <t>A. Owusu</t>
        </is>
      </c>
      <c r="H79" s="28" t="inlineStr">
        <is>
          <t>Administration</t>
        </is>
      </c>
      <c r="I79" s="28" t="inlineStr">
        <is>
          <t>Administration</t>
        </is>
      </c>
      <c r="J79" s="28" t="inlineStr">
        <is>
          <t>Low</t>
        </is>
      </c>
      <c r="K79" s="28" t="inlineStr">
        <is>
          <t>Closed</t>
        </is>
      </c>
      <c r="L79" s="30">
        <f>IF(AND([@Status]&lt;&gt;"Closed",[@Due]&lt;TODAY()),1,0)</f>
        <v/>
      </c>
      <c r="M79" s="30">
        <f>IF(AND([@Status]&lt;&gt;"Closed",[@Due]&lt;TODAY()),TODAY()-[@Due],0)</f>
        <v/>
      </c>
    </row>
    <row r="80">
      <c r="B80" s="28" t="inlineStr">
        <is>
          <t>CAR-0068</t>
        </is>
      </c>
      <c r="C80" s="28" t="inlineStr">
        <is>
          <t>Inspection/Audit</t>
        </is>
      </c>
      <c r="D80" s="28" t="inlineStr">
        <is>
          <t>Spill kit replenishment</t>
        </is>
      </c>
      <c r="E80" s="29" t="n">
        <v>45978</v>
      </c>
      <c r="F80" s="29" t="n">
        <v>46039</v>
      </c>
      <c r="G80" s="28" t="inlineStr">
        <is>
          <t>D. Tetteh</t>
        </is>
      </c>
      <c r="H80" s="28" t="inlineStr">
        <is>
          <t>Environment</t>
        </is>
      </c>
      <c r="I80" s="28" t="inlineStr">
        <is>
          <t>Tailings Storage Facility</t>
        </is>
      </c>
      <c r="J80" s="28" t="inlineStr">
        <is>
          <t>Medium</t>
        </is>
      </c>
      <c r="K80" s="28" t="inlineStr">
        <is>
          <t>Closed</t>
        </is>
      </c>
      <c r="L80" s="30">
        <f>IF(AND([@Status]&lt;&gt;"Closed",[@Due]&lt;TODAY()),1,0)</f>
        <v/>
      </c>
      <c r="M80" s="30">
        <f>IF(AND([@Status]&lt;&gt;"Closed",[@Due]&lt;TODAY()),TODAY()-[@Due],0)</f>
        <v/>
      </c>
    </row>
    <row r="81">
      <c r="B81" s="28" t="inlineStr">
        <is>
          <t>CAR-0069</t>
        </is>
      </c>
      <c r="C81" s="28" t="inlineStr">
        <is>
          <t>Inspection/Audit</t>
        </is>
      </c>
      <c r="D81" s="28" t="inlineStr">
        <is>
          <t>Repair edge protection</t>
        </is>
      </c>
      <c r="E81" s="29" t="n">
        <v>46150</v>
      </c>
      <c r="F81" s="29" t="n">
        <v>46185</v>
      </c>
      <c r="G81" s="28" t="inlineStr">
        <is>
          <t>D. Tetteh</t>
        </is>
      </c>
      <c r="H81" s="28" t="inlineStr">
        <is>
          <t>Logistics</t>
        </is>
      </c>
      <c r="I81" s="28" t="inlineStr">
        <is>
          <t>Warehouse &amp; Stores</t>
        </is>
      </c>
      <c r="J81" s="28" t="inlineStr">
        <is>
          <t>High</t>
        </is>
      </c>
      <c r="K81" s="28" t="inlineStr">
        <is>
          <t>In Progress</t>
        </is>
      </c>
      <c r="L81" s="30">
        <f>IF(AND([@Status]&lt;&gt;"Closed",[@Due]&lt;TODAY()),1,0)</f>
        <v/>
      </c>
      <c r="M81" s="30">
        <f>IF(AND([@Status]&lt;&gt;"Closed",[@Due]&lt;TODAY()),TODAY()-[@Due],0)</f>
        <v/>
      </c>
    </row>
    <row r="82">
      <c r="B82" s="28" t="inlineStr">
        <is>
          <t>CAR-0070</t>
        </is>
      </c>
      <c r="C82" s="28" t="inlineStr">
        <is>
          <t>Inspection/Audit</t>
        </is>
      </c>
      <c r="D82" s="28" t="inlineStr">
        <is>
          <t>Update SOP / JSA</t>
        </is>
      </c>
      <c r="E82" s="29" t="n">
        <v>46098</v>
      </c>
      <c r="F82" s="29" t="n">
        <v>46136</v>
      </c>
      <c r="G82" s="28" t="inlineStr">
        <is>
          <t>F. Agyeman</t>
        </is>
      </c>
      <c r="H82" s="28" t="inlineStr">
        <is>
          <t>Processing</t>
        </is>
      </c>
      <c r="I82" s="28" t="inlineStr">
        <is>
          <t>Crushing Circuit</t>
        </is>
      </c>
      <c r="J82" s="28" t="inlineStr">
        <is>
          <t>High</t>
        </is>
      </c>
      <c r="K82" s="28" t="inlineStr">
        <is>
          <t>In Progress</t>
        </is>
      </c>
      <c r="L82" s="30">
        <f>IF(AND([@Status]&lt;&gt;"Closed",[@Due]&lt;TODAY()),1,0)</f>
        <v/>
      </c>
      <c r="M82" s="30">
        <f>IF(AND([@Status]&lt;&gt;"Closed",[@Due]&lt;TODAY()),TODAY()-[@Due],0)</f>
        <v/>
      </c>
    </row>
    <row r="83">
      <c r="B83" s="28" t="inlineStr">
        <is>
          <t>CAR-0071</t>
        </is>
      </c>
      <c r="C83" s="28" t="inlineStr">
        <is>
          <t>Inspection/Audit</t>
        </is>
      </c>
      <c r="D83" s="28" t="inlineStr">
        <is>
          <t>Improve signage</t>
        </is>
      </c>
      <c r="E83" s="29" t="n">
        <v>46083</v>
      </c>
      <c r="F83" s="29" t="n">
        <v>46103</v>
      </c>
      <c r="G83" s="28" t="inlineStr">
        <is>
          <t>D. Tetteh</t>
        </is>
      </c>
      <c r="H83" s="28" t="inlineStr">
        <is>
          <t>Processing</t>
        </is>
      </c>
      <c r="I83" s="28" t="inlineStr">
        <is>
          <t>Crushing Circuit</t>
        </is>
      </c>
      <c r="J83" s="28" t="inlineStr">
        <is>
          <t>Medium</t>
        </is>
      </c>
      <c r="K83" s="28" t="inlineStr">
        <is>
          <t>In Progress</t>
        </is>
      </c>
      <c r="L83" s="30">
        <f>IF(AND([@Status]&lt;&gt;"Closed",[@Due]&lt;TODAY()),1,0)</f>
        <v/>
      </c>
      <c r="M83" s="30">
        <f>IF(AND([@Status]&lt;&gt;"Closed",[@Due]&lt;TODAY()),TODAY()-[@Due],0)</f>
        <v/>
      </c>
    </row>
    <row r="84">
      <c r="B84" s="28" t="inlineStr">
        <is>
          <t>CAR-0072</t>
        </is>
      </c>
      <c r="C84" s="28" t="inlineStr">
        <is>
          <t>Inspection/Audit</t>
        </is>
      </c>
      <c r="D84" s="28" t="inlineStr">
        <is>
          <t>Replace fire extinguisher</t>
        </is>
      </c>
      <c r="E84" s="29" t="n">
        <v>46081</v>
      </c>
      <c r="F84" s="29" t="n">
        <v>46125</v>
      </c>
      <c r="G84" s="28" t="inlineStr">
        <is>
          <t>Y. Darko</t>
        </is>
      </c>
      <c r="H84" s="28" t="inlineStr">
        <is>
          <t>Processing</t>
        </is>
      </c>
      <c r="I84" s="28" t="inlineStr">
        <is>
          <t>Crushing Circuit</t>
        </is>
      </c>
      <c r="J84" s="28" t="inlineStr">
        <is>
          <t>Low</t>
        </is>
      </c>
      <c r="K84" s="28" t="inlineStr">
        <is>
          <t>Open</t>
        </is>
      </c>
      <c r="L84" s="30">
        <f>IF(AND([@Status]&lt;&gt;"Closed",[@Due]&lt;TODAY()),1,0)</f>
        <v/>
      </c>
      <c r="M84" s="30">
        <f>IF(AND([@Status]&lt;&gt;"Closed",[@Due]&lt;TODAY()),TODAY()-[@Due],0)</f>
        <v/>
      </c>
    </row>
    <row r="85">
      <c r="B85" s="28" t="inlineStr">
        <is>
          <t>CAR-0073</t>
        </is>
      </c>
      <c r="C85" s="28" t="inlineStr">
        <is>
          <t>Inspection/Audit</t>
        </is>
      </c>
      <c r="D85" s="28" t="inlineStr">
        <is>
          <t>Replace fire extinguisher</t>
        </is>
      </c>
      <c r="E85" s="29" t="n">
        <v>46159</v>
      </c>
      <c r="F85" s="29" t="n">
        <v>46185</v>
      </c>
      <c r="G85" s="28" t="inlineStr">
        <is>
          <t>E. Asante</t>
        </is>
      </c>
      <c r="H85" s="28" t="inlineStr">
        <is>
          <t>Mining</t>
        </is>
      </c>
      <c r="I85" s="28" t="inlineStr">
        <is>
          <t>Explosives Magazine</t>
        </is>
      </c>
      <c r="J85" s="28" t="inlineStr">
        <is>
          <t>Low</t>
        </is>
      </c>
      <c r="K85" s="28" t="inlineStr">
        <is>
          <t>Open</t>
        </is>
      </c>
      <c r="L85" s="30">
        <f>IF(AND([@Status]&lt;&gt;"Closed",[@Due]&lt;TODAY()),1,0)</f>
        <v/>
      </c>
      <c r="M85" s="30">
        <f>IF(AND([@Status]&lt;&gt;"Closed",[@Due]&lt;TODAY()),TODAY()-[@Due],0)</f>
        <v/>
      </c>
    </row>
    <row r="86">
      <c r="B86" s="28" t="inlineStr">
        <is>
          <t>CAR-0074</t>
        </is>
      </c>
      <c r="C86" s="28" t="inlineStr">
        <is>
          <t>Inspection/Audit</t>
        </is>
      </c>
      <c r="D86" s="28" t="inlineStr">
        <is>
          <t>Repair edge protection</t>
        </is>
      </c>
      <c r="E86" s="29" t="n">
        <v>45983</v>
      </c>
      <c r="F86" s="29" t="n">
        <v>46039</v>
      </c>
      <c r="G86" s="28" t="inlineStr">
        <is>
          <t>D. Tetteh</t>
        </is>
      </c>
      <c r="H86" s="28" t="inlineStr">
        <is>
          <t>Mining</t>
        </is>
      </c>
      <c r="I86" s="28" t="inlineStr">
        <is>
          <t>Drill &amp; Blast</t>
        </is>
      </c>
      <c r="J86" s="28" t="inlineStr">
        <is>
          <t>Low</t>
        </is>
      </c>
      <c r="K86" s="28" t="inlineStr">
        <is>
          <t>In Progress</t>
        </is>
      </c>
      <c r="L86" s="30">
        <f>IF(AND([@Status]&lt;&gt;"Closed",[@Due]&lt;TODAY()),1,0)</f>
        <v/>
      </c>
      <c r="M86" s="30">
        <f>IF(AND([@Status]&lt;&gt;"Closed",[@Due]&lt;TODAY()),TODAY()-[@Due],0)</f>
        <v/>
      </c>
    </row>
    <row r="87">
      <c r="B87" s="28" t="inlineStr">
        <is>
          <t>CAR-0075</t>
        </is>
      </c>
      <c r="C87" s="28" t="inlineStr">
        <is>
          <t>Inspection/Audit</t>
        </is>
      </c>
      <c r="D87" s="28" t="inlineStr">
        <is>
          <t>Replace fire extinguisher</t>
        </is>
      </c>
      <c r="E87" s="29" t="n">
        <v>46073</v>
      </c>
      <c r="F87" s="29" t="n">
        <v>46119</v>
      </c>
      <c r="G87" s="28" t="inlineStr">
        <is>
          <t>Y. Darko</t>
        </is>
      </c>
      <c r="H87" s="28" t="inlineStr">
        <is>
          <t>Administration</t>
        </is>
      </c>
      <c r="I87" s="28" t="inlineStr">
        <is>
          <t>Administration</t>
        </is>
      </c>
      <c r="J87" s="28" t="inlineStr">
        <is>
          <t>Low</t>
        </is>
      </c>
      <c r="K87" s="28" t="inlineStr">
        <is>
          <t>Closed</t>
        </is>
      </c>
      <c r="L87" s="30">
        <f>IF(AND([@Status]&lt;&gt;"Closed",[@Due]&lt;TODAY()),1,0)</f>
        <v/>
      </c>
      <c r="M87" s="30">
        <f>IF(AND([@Status]&lt;&gt;"Closed",[@Due]&lt;TODAY()),TODAY()-[@Due],0)</f>
        <v/>
      </c>
    </row>
    <row r="88">
      <c r="B88" s="28" t="inlineStr">
        <is>
          <t>CAR-0076</t>
        </is>
      </c>
      <c r="C88" s="28" t="inlineStr">
        <is>
          <t>Inspection/Audit</t>
        </is>
      </c>
      <c r="D88" s="28" t="inlineStr">
        <is>
          <t>Spill kit replenishment</t>
        </is>
      </c>
      <c r="E88" s="29" t="n">
        <v>46025</v>
      </c>
      <c r="F88" s="29" t="n">
        <v>46069</v>
      </c>
      <c r="G88" s="28" t="inlineStr">
        <is>
          <t>D. Tetteh</t>
        </is>
      </c>
      <c r="H88" s="28" t="inlineStr">
        <is>
          <t>Processing</t>
        </is>
      </c>
      <c r="I88" s="28" t="inlineStr">
        <is>
          <t>Crushing Circuit</t>
        </is>
      </c>
      <c r="J88" s="28" t="inlineStr">
        <is>
          <t>Low</t>
        </is>
      </c>
      <c r="K88" s="28" t="inlineStr">
        <is>
          <t>In Progress</t>
        </is>
      </c>
      <c r="L88" s="30">
        <f>IF(AND([@Status]&lt;&gt;"Closed",[@Due]&lt;TODAY()),1,0)</f>
        <v/>
      </c>
      <c r="M88" s="30">
        <f>IF(AND([@Status]&lt;&gt;"Closed",[@Due]&lt;TODAY()),TODAY()-[@Due],0)</f>
        <v/>
      </c>
    </row>
    <row r="89">
      <c r="B89" s="28" t="inlineStr">
        <is>
          <t>CAR-0077</t>
        </is>
      </c>
      <c r="C89" s="28" t="inlineStr">
        <is>
          <t>Inspection/Audit</t>
        </is>
      </c>
      <c r="D89" s="28" t="inlineStr">
        <is>
          <t>Lighting upgrade</t>
        </is>
      </c>
      <c r="E89" s="29" t="n">
        <v>46094</v>
      </c>
      <c r="F89" s="29" t="n">
        <v>46159</v>
      </c>
      <c r="G89" s="28" t="inlineStr">
        <is>
          <t>A. Owusu</t>
        </is>
      </c>
      <c r="H89" s="28" t="inlineStr">
        <is>
          <t>Mining</t>
        </is>
      </c>
      <c r="I89" s="28" t="inlineStr">
        <is>
          <t>Nkran Open Pit</t>
        </is>
      </c>
      <c r="J89" s="28" t="inlineStr">
        <is>
          <t>Medium</t>
        </is>
      </c>
      <c r="K89" s="28" t="inlineStr">
        <is>
          <t>In Progress</t>
        </is>
      </c>
      <c r="L89" s="30">
        <f>IF(AND([@Status]&lt;&gt;"Closed",[@Due]&lt;TODAY()),1,0)</f>
        <v/>
      </c>
      <c r="M89" s="30">
        <f>IF(AND([@Status]&lt;&gt;"Closed",[@Due]&lt;TODAY()),TODAY()-[@Due],0)</f>
        <v/>
      </c>
    </row>
    <row r="90">
      <c r="B90" s="28" t="inlineStr">
        <is>
          <t>CAR-0078</t>
        </is>
      </c>
      <c r="C90" s="28" t="inlineStr">
        <is>
          <t>Inspection/Audit</t>
        </is>
      </c>
      <c r="D90" s="28" t="inlineStr">
        <is>
          <t>Install machine guard</t>
        </is>
      </c>
      <c r="E90" s="29" t="n">
        <v>45989</v>
      </c>
      <c r="F90" s="29" t="n">
        <v>46051</v>
      </c>
      <c r="G90" s="28" t="inlineStr">
        <is>
          <t>P. Annan</t>
        </is>
      </c>
      <c r="H90" s="28" t="inlineStr">
        <is>
          <t>Mining</t>
        </is>
      </c>
      <c r="I90" s="28" t="inlineStr">
        <is>
          <t>Haul Roads</t>
        </is>
      </c>
      <c r="J90" s="28" t="inlineStr">
        <is>
          <t>Medium</t>
        </is>
      </c>
      <c r="K90" s="28" t="inlineStr">
        <is>
          <t>Open</t>
        </is>
      </c>
      <c r="L90" s="30">
        <f>IF(AND([@Status]&lt;&gt;"Closed",[@Due]&lt;TODAY()),1,0)</f>
        <v/>
      </c>
      <c r="M90" s="30">
        <f>IF(AND([@Status]&lt;&gt;"Closed",[@Due]&lt;TODAY()),TODAY()-[@Due],0)</f>
        <v/>
      </c>
    </row>
    <row r="91">
      <c r="B91" s="28" t="inlineStr">
        <is>
          <t>CAR-0079</t>
        </is>
      </c>
      <c r="C91" s="28" t="inlineStr">
        <is>
          <t>Inspection/Audit</t>
        </is>
      </c>
      <c r="D91" s="28" t="inlineStr">
        <is>
          <t>Replace fire extinguisher</t>
        </is>
      </c>
      <c r="E91" s="29" t="n">
        <v>46166</v>
      </c>
      <c r="F91" s="29" t="n">
        <v>46212</v>
      </c>
      <c r="G91" s="28" t="inlineStr">
        <is>
          <t>K. Mensah</t>
        </is>
      </c>
      <c r="H91" s="28" t="inlineStr">
        <is>
          <t>Processing</t>
        </is>
      </c>
      <c r="I91" s="28" t="inlineStr">
        <is>
          <t>Elution &amp; Gold Room</t>
        </is>
      </c>
      <c r="J91" s="28" t="inlineStr">
        <is>
          <t>Medium</t>
        </is>
      </c>
      <c r="K91" s="28" t="inlineStr">
        <is>
          <t>Closed</t>
        </is>
      </c>
      <c r="L91" s="30">
        <f>IF(AND([@Status]&lt;&gt;"Closed",[@Due]&lt;TODAY()),1,0)</f>
        <v/>
      </c>
      <c r="M91" s="30">
        <f>IF(AND([@Status]&lt;&gt;"Closed",[@Due]&lt;TODAY()),TODAY()-[@Due],0)</f>
        <v/>
      </c>
    </row>
    <row r="92">
      <c r="B92" s="28" t="inlineStr">
        <is>
          <t>CAR-0080</t>
        </is>
      </c>
      <c r="C92" s="28" t="inlineStr">
        <is>
          <t>Inspection/Audit</t>
        </is>
      </c>
      <c r="D92" s="28" t="inlineStr">
        <is>
          <t>Update SOP / JSA</t>
        </is>
      </c>
      <c r="E92" s="29" t="n">
        <v>46100</v>
      </c>
      <c r="F92" s="29" t="n">
        <v>46124</v>
      </c>
      <c r="G92" s="28" t="inlineStr">
        <is>
          <t>K. Mensah</t>
        </is>
      </c>
      <c r="H92" s="28" t="inlineStr">
        <is>
          <t>Processing</t>
        </is>
      </c>
      <c r="I92" s="28" t="inlineStr">
        <is>
          <t>Elution &amp; Gold Room</t>
        </is>
      </c>
      <c r="J92" s="28" t="inlineStr">
        <is>
          <t>Medium</t>
        </is>
      </c>
      <c r="K92" s="28" t="inlineStr">
        <is>
          <t>Due Soon</t>
        </is>
      </c>
      <c r="L92" s="30">
        <f>IF(AND([@Status]&lt;&gt;"Closed",[@Due]&lt;TODAY()),1,0)</f>
        <v/>
      </c>
      <c r="M92" s="30">
        <f>IF(AND([@Status]&lt;&gt;"Closed",[@Due]&lt;TODAY()),TODAY()-[@Due],0)</f>
        <v/>
      </c>
    </row>
    <row r="93">
      <c r="B93" s="28" t="inlineStr">
        <is>
          <t>CAR-0081</t>
        </is>
      </c>
      <c r="C93" s="28" t="inlineStr">
        <is>
          <t>Inspection/Audit</t>
        </is>
      </c>
      <c r="D93" s="28" t="inlineStr">
        <is>
          <t>Install machine guard</t>
        </is>
      </c>
      <c r="E93" s="29" t="n">
        <v>45992</v>
      </c>
      <c r="F93" s="29" t="n">
        <v>46052</v>
      </c>
      <c r="G93" s="28" t="inlineStr">
        <is>
          <t>Y. Darko</t>
        </is>
      </c>
      <c r="H93" s="28" t="inlineStr">
        <is>
          <t>Logistics</t>
        </is>
      </c>
      <c r="I93" s="28" t="inlineStr">
        <is>
          <t>Warehouse &amp; Stores</t>
        </is>
      </c>
      <c r="J93" s="28" t="inlineStr">
        <is>
          <t>Medium</t>
        </is>
      </c>
      <c r="K93" s="28" t="inlineStr">
        <is>
          <t>Open</t>
        </is>
      </c>
      <c r="L93" s="30">
        <f>IF(AND([@Status]&lt;&gt;"Closed",[@Due]&lt;TODAY()),1,0)</f>
        <v/>
      </c>
      <c r="M93" s="30">
        <f>IF(AND([@Status]&lt;&gt;"Closed",[@Due]&lt;TODAY()),TODAY()-[@Due],0)</f>
        <v/>
      </c>
    </row>
    <row r="94">
      <c r="B94" s="28" t="inlineStr">
        <is>
          <t>CAR-0082</t>
        </is>
      </c>
      <c r="C94" s="28" t="inlineStr">
        <is>
          <t>Inspection/Audit</t>
        </is>
      </c>
      <c r="D94" s="28" t="inlineStr">
        <is>
          <t>Install machine guard</t>
        </is>
      </c>
      <c r="E94" s="29" t="n">
        <v>46063</v>
      </c>
      <c r="F94" s="29" t="n">
        <v>46083</v>
      </c>
      <c r="G94" s="28" t="inlineStr">
        <is>
          <t>F. Agyeman</t>
        </is>
      </c>
      <c r="H94" s="28" t="inlineStr">
        <is>
          <t>Environment</t>
        </is>
      </c>
      <c r="I94" s="28" t="inlineStr">
        <is>
          <t>Water Treatment</t>
        </is>
      </c>
      <c r="J94" s="28" t="inlineStr">
        <is>
          <t>High</t>
        </is>
      </c>
      <c r="K94" s="28" t="inlineStr">
        <is>
          <t>Closed</t>
        </is>
      </c>
      <c r="L94" s="30">
        <f>IF(AND([@Status]&lt;&gt;"Closed",[@Due]&lt;TODAY()),1,0)</f>
        <v/>
      </c>
      <c r="M94" s="30">
        <f>IF(AND([@Status]&lt;&gt;"Closed",[@Due]&lt;TODAY()),TODAY()-[@Due],0)</f>
        <v/>
      </c>
    </row>
    <row r="95">
      <c r="B95" s="28" t="inlineStr">
        <is>
          <t>CAR-0083</t>
        </is>
      </c>
      <c r="C95" s="28" t="inlineStr">
        <is>
          <t>Inspection/Audit</t>
        </is>
      </c>
      <c r="D95" s="28" t="inlineStr">
        <is>
          <t>Update SOP / JSA</t>
        </is>
      </c>
      <c r="E95" s="29" t="n">
        <v>45996</v>
      </c>
      <c r="F95" s="29" t="n">
        <v>46065</v>
      </c>
      <c r="G95" s="28" t="inlineStr">
        <is>
          <t>Y. Darko</t>
        </is>
      </c>
      <c r="H95" s="28" t="inlineStr">
        <is>
          <t>Administration</t>
        </is>
      </c>
      <c r="I95" s="28" t="inlineStr">
        <is>
          <t>Accommodation Camp</t>
        </is>
      </c>
      <c r="J95" s="28" t="inlineStr">
        <is>
          <t>Medium</t>
        </is>
      </c>
      <c r="K95" s="28" t="inlineStr">
        <is>
          <t>Open</t>
        </is>
      </c>
      <c r="L95" s="30">
        <f>IF(AND([@Status]&lt;&gt;"Closed",[@Due]&lt;TODAY()),1,0)</f>
        <v/>
      </c>
      <c r="M95" s="30">
        <f>IF(AND([@Status]&lt;&gt;"Closed",[@Due]&lt;TODAY()),TODAY()-[@Due],0)</f>
        <v/>
      </c>
    </row>
  </sheetData>
  <mergeCells count="15">
    <mergeCell ref="N6:P7"/>
    <mergeCell ref="J5:L5"/>
    <mergeCell ref="B5:D5"/>
    <mergeCell ref="B6:D7"/>
    <mergeCell ref="F5:H5"/>
    <mergeCell ref="F6:H7"/>
    <mergeCell ref="A1:M2"/>
    <mergeCell ref="J6:L7"/>
    <mergeCell ref="B11:M11"/>
    <mergeCell ref="B8:D8"/>
    <mergeCell ref="F8:H8"/>
    <mergeCell ref="A3:M3"/>
    <mergeCell ref="J8:L8"/>
    <mergeCell ref="N5:P5"/>
    <mergeCell ref="N8:P8"/>
  </mergeCells>
  <conditionalFormatting sqref="F8">
    <cfRule type="expression" priority="1" dxfId="0" stopIfTrue="1">
      <formula>F6=0</formula>
    </cfRule>
    <cfRule type="expression" priority="2" dxfId="2" stopIfTrue="1">
      <formula>F6&gt;0</formula>
    </cfRule>
  </conditionalFormatting>
  <conditionalFormatting sqref="K13:K1000">
    <cfRule type="cellIs" priority="3" operator="equal" dxfId="6">
      <formula>"Closed"</formula>
    </cfRule>
    <cfRule type="cellIs" priority="4" operator="equal" dxfId="3">
      <formula>"Open"</formula>
    </cfRule>
    <cfRule type="cellIs" priority="5" operator="equal" dxfId="17">
      <formula>"In Progress"</formula>
    </cfRule>
    <cfRule type="cellIs" priority="6" operator="equal" dxfId="4">
      <formula>"Due Soon"</formula>
    </cfRule>
  </conditionalFormatting>
  <conditionalFormatting sqref="M13:M1000">
    <cfRule type="cellIs" priority="7" operator="greaterThan" dxfId="3">
      <formula>0</formula>
    </cfRule>
  </conditionalFormatting>
  <dataValidations count="1">
    <dataValidation sqref="K13:K1000" showDropDown="0" showInputMessage="0" showErrorMessage="0" allowBlank="1" type="list">
      <formula1>Lists!$G$8:$G$11</formula1>
    </dataValidation>
  </dataValidation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2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1" customWidth="1" min="10" max="10"/>
    <col width="3" customWidth="1" min="11" max="11"/>
    <col width="12" customWidth="1" min="13" max="13"/>
    <col width="8" customWidth="1" min="14" max="14"/>
  </cols>
  <sheetData>
    <row r="1" ht="16" customHeight="1">
      <c r="A1" s="1" t="inlineStr">
        <is>
          <t>ASANKO GOLD MINE   |   Regulatory Compliance (Ghana)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8" customHeight="1">
      <c r="A3" s="3" t="inlineStr">
        <is>
          <t>Health, Safety &amp; Environment Management System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5">
      <c r="B5" s="16" t="inlineStr">
        <is>
          <t>OVERALL COMPLIANCE</t>
        </is>
      </c>
      <c r="C5" s="14" t="n"/>
      <c r="D5" s="15" t="n"/>
      <c r="F5" s="13" t="inlineStr">
        <is>
          <t>DUE SOON</t>
        </is>
      </c>
      <c r="G5" s="14" t="n"/>
      <c r="H5" s="15" t="n"/>
      <c r="J5" s="16" t="inlineStr">
        <is>
          <t>OVERDUE</t>
        </is>
      </c>
      <c r="K5" s="14" t="n"/>
      <c r="L5" s="15" t="n"/>
      <c r="M5" s="49" t="inlineStr">
        <is>
          <t>Status</t>
        </is>
      </c>
      <c r="N5" s="49" t="inlineStr">
        <is>
          <t>Count</t>
        </is>
      </c>
    </row>
    <row r="6">
      <c r="B6" s="57">
        <f>IFERROR(COUNTIF(tblCompliance[Status],"Compliant")/ROWS(tblCompliance),0)</f>
        <v/>
      </c>
      <c r="C6" s="18" t="n"/>
      <c r="D6" s="19" t="n"/>
      <c r="F6" s="17">
        <f>COUNTIF(tblCompliance[Status],"Due Soon")</f>
        <v/>
      </c>
      <c r="G6" s="18" t="n"/>
      <c r="H6" s="19" t="n"/>
      <c r="J6" s="20">
        <f>COUNTIF(tblCompliance[Status],"Overdue")</f>
        <v/>
      </c>
      <c r="K6" s="18" t="n"/>
      <c r="L6" s="19" t="n"/>
      <c r="M6" t="inlineStr">
        <is>
          <t>Compliant</t>
        </is>
      </c>
      <c r="N6">
        <f>COUNTIF(tblCompliance[Status],$M6)</f>
        <v/>
      </c>
    </row>
    <row r="7">
      <c r="B7" s="22" t="n"/>
      <c r="C7" s="23" t="n"/>
      <c r="D7" s="24" t="n"/>
      <c r="F7" s="22" t="n"/>
      <c r="G7" s="23" t="n"/>
      <c r="H7" s="24" t="n"/>
      <c r="J7" s="22" t="n"/>
      <c r="K7" s="23" t="n"/>
      <c r="L7" s="24" t="n"/>
      <c r="M7" t="inlineStr">
        <is>
          <t>Due Soon</t>
        </is>
      </c>
      <c r="N7">
        <f>COUNTIF(tblCompliance[Status],$M7)</f>
        <v/>
      </c>
    </row>
    <row r="8">
      <c r="B8" s="25">
        <f>IF(B6&gt;=0.95,"COMPLIANT","ATTENTION")</f>
        <v/>
      </c>
      <c r="C8" s="14" t="n"/>
      <c r="D8" s="15" t="n"/>
      <c r="F8" s="48" t="n"/>
      <c r="G8" s="14" t="n"/>
      <c r="H8" s="15" t="n"/>
      <c r="J8" s="25">
        <f>IF(J6=0,"NONE OVERDUE","ACTION REQUIRED")</f>
        <v/>
      </c>
      <c r="K8" s="14" t="n"/>
      <c r="L8" s="15" t="n"/>
      <c r="M8" t="inlineStr">
        <is>
          <t>Overdue</t>
        </is>
      </c>
      <c r="N8">
        <f>COUNTIF(tblCompliance[Status],$M8)</f>
        <v/>
      </c>
    </row>
    <row r="11">
      <c r="B11" s="5" t="inlineStr">
        <is>
          <t>REGULATORY REGISTER  (status auto-derived from Due date vs TODAY)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28" customHeight="1">
      <c r="B12" s="27" t="inlineStr">
        <is>
          <t>Item</t>
        </is>
      </c>
      <c r="C12" s="27" t="inlineStr">
        <is>
          <t>Regulator</t>
        </is>
      </c>
      <c r="D12" s="27" t="inlineStr">
        <is>
          <t>Reference</t>
        </is>
      </c>
      <c r="E12" s="27" t="inlineStr">
        <is>
          <t>Frequency_Months</t>
        </is>
      </c>
      <c r="F12" s="27" t="inlineStr">
        <is>
          <t>Last_Completed</t>
        </is>
      </c>
      <c r="G12" s="27" t="inlineStr">
        <is>
          <t>Owner</t>
        </is>
      </c>
      <c r="H12" s="27" t="inlineStr">
        <is>
          <t>Due_Date</t>
        </is>
      </c>
      <c r="I12" s="27" t="inlineStr">
        <is>
          <t>Status</t>
        </is>
      </c>
      <c r="J12" s="27" t="inlineStr">
        <is>
          <t>Days_To_Due</t>
        </is>
      </c>
    </row>
    <row r="13">
      <c r="B13" s="28" t="inlineStr">
        <is>
          <t>Mining Lease / Operating Permit</t>
        </is>
      </c>
      <c r="C13" s="28" t="inlineStr">
        <is>
          <t>Minerals Commission</t>
        </is>
      </c>
      <c r="D13" s="28" t="inlineStr">
        <is>
          <t>Act 703</t>
        </is>
      </c>
      <c r="E13" s="31" t="n">
        <v>12</v>
      </c>
      <c r="F13" s="29" t="n">
        <v>45857</v>
      </c>
      <c r="G13" s="28" t="inlineStr">
        <is>
          <t>S. Addo</t>
        </is>
      </c>
      <c r="H13" s="32">
        <f>EDATE([@Last_Completed],[@Frequency_Months])</f>
        <v/>
      </c>
      <c r="I13" s="28">
        <f>IF([@Due_Date]="","",IF(TODAY()&gt;[@Due_Date],"Overdue",IF([@Due_Date]-TODAY()&lt;=30,"Due Soon","Compliant")))</f>
        <v/>
      </c>
      <c r="J13" s="30">
        <f>[@Due_Date]-TODAY()</f>
        <v/>
      </c>
    </row>
    <row r="14">
      <c r="B14" s="28" t="inlineStr">
        <is>
          <t>Annual Mineral Right Rent</t>
        </is>
      </c>
      <c r="C14" s="28" t="inlineStr">
        <is>
          <t>Minerals Commission</t>
        </is>
      </c>
      <c r="D14" s="28" t="inlineStr">
        <is>
          <t>LI 2176</t>
        </is>
      </c>
      <c r="E14" s="31" t="n">
        <v>12</v>
      </c>
      <c r="F14" s="29" t="n">
        <v>45813</v>
      </c>
      <c r="G14" s="28" t="inlineStr">
        <is>
          <t>M. Quaye</t>
        </is>
      </c>
      <c r="H14" s="32">
        <f>EDATE([@Last_Completed],[@Frequency_Months])</f>
        <v/>
      </c>
      <c r="I14" s="28">
        <f>IF([@Due_Date]="","",IF(TODAY()&gt;[@Due_Date],"Overdue",IF([@Due_Date]-TODAY()&lt;=30,"Due Soon","Compliant")))</f>
        <v/>
      </c>
      <c r="J14" s="30">
        <f>[@Due_Date]-TODAY()</f>
        <v/>
      </c>
    </row>
    <row r="15">
      <c r="B15" s="28" t="inlineStr">
        <is>
          <t>Environmental Permit</t>
        </is>
      </c>
      <c r="C15" s="28" t="inlineStr">
        <is>
          <t>EPA Ghana</t>
        </is>
      </c>
      <c r="D15" s="28" t="inlineStr">
        <is>
          <t>LI 1652</t>
        </is>
      </c>
      <c r="E15" s="31" t="n">
        <v>12</v>
      </c>
      <c r="F15" s="29" t="n">
        <v>46065</v>
      </c>
      <c r="G15" s="28" t="inlineStr">
        <is>
          <t>P. Annan</t>
        </is>
      </c>
      <c r="H15" s="32">
        <f>EDATE([@Last_Completed],[@Frequency_Months])</f>
        <v/>
      </c>
      <c r="I15" s="28">
        <f>IF([@Due_Date]="","",IF(TODAY()&gt;[@Due_Date],"Overdue",IF([@Due_Date]-TODAY()&lt;=30,"Due Soon","Compliant")))</f>
        <v/>
      </c>
      <c r="J15" s="30">
        <f>[@Due_Date]-TODAY()</f>
        <v/>
      </c>
    </row>
    <row r="16">
      <c r="B16" s="28" t="inlineStr">
        <is>
          <t>Annual Environmental Mgmt Report (AEMR)</t>
        </is>
      </c>
      <c r="C16" s="28" t="inlineStr">
        <is>
          <t>EPA Ghana</t>
        </is>
      </c>
      <c r="D16" s="28" t="inlineStr">
        <is>
          <t>EA Regs</t>
        </is>
      </c>
      <c r="E16" s="31" t="n">
        <v>12</v>
      </c>
      <c r="F16" s="29" t="n">
        <v>45961</v>
      </c>
      <c r="G16" s="28" t="inlineStr">
        <is>
          <t>P. Annan</t>
        </is>
      </c>
      <c r="H16" s="32">
        <f>EDATE([@Last_Completed],[@Frequency_Months])</f>
        <v/>
      </c>
      <c r="I16" s="28">
        <f>IF([@Due_Date]="","",IF(TODAY()&gt;[@Due_Date],"Overdue",IF([@Due_Date]-TODAY()&lt;=30,"Due Soon","Compliant")))</f>
        <v/>
      </c>
      <c r="J16" s="30">
        <f>[@Due_Date]-TODAY()</f>
        <v/>
      </c>
    </row>
    <row r="17">
      <c r="B17" s="28" t="inlineStr">
        <is>
          <t>Effluent / Discharge Monitoring</t>
        </is>
      </c>
      <c r="C17" s="28" t="inlineStr">
        <is>
          <t>EPA Ghana</t>
        </is>
      </c>
      <c r="D17" s="28" t="inlineStr">
        <is>
          <t>GEPA Std</t>
        </is>
      </c>
      <c r="E17" s="31" t="n">
        <v>3</v>
      </c>
      <c r="F17" s="29" t="n">
        <v>46083</v>
      </c>
      <c r="G17" s="28" t="inlineStr">
        <is>
          <t>M. Quaye</t>
        </is>
      </c>
      <c r="H17" s="32">
        <f>EDATE([@Last_Completed],[@Frequency_Months])</f>
        <v/>
      </c>
      <c r="I17" s="28">
        <f>IF([@Due_Date]="","",IF(TODAY()&gt;[@Due_Date],"Overdue",IF([@Due_Date]-TODAY()&lt;=30,"Due Soon","Compliant")))</f>
        <v/>
      </c>
      <c r="J17" s="30">
        <f>[@Due_Date]-TODAY()</f>
        <v/>
      </c>
    </row>
    <row r="18">
      <c r="B18" s="28" t="inlineStr">
        <is>
          <t>Factory Registration &amp; Inspection</t>
        </is>
      </c>
      <c r="C18" s="28" t="inlineStr">
        <is>
          <t>Factories Inspectorate</t>
        </is>
      </c>
      <c r="D18" s="28" t="inlineStr">
        <is>
          <t>Act 328</t>
        </is>
      </c>
      <c r="E18" s="31" t="n">
        <v>12</v>
      </c>
      <c r="F18" s="29" t="n">
        <v>46114</v>
      </c>
      <c r="G18" s="28" t="inlineStr">
        <is>
          <t>Y. Darko</t>
        </is>
      </c>
      <c r="H18" s="32">
        <f>EDATE([@Last_Completed],[@Frequency_Months])</f>
        <v/>
      </c>
      <c r="I18" s="28">
        <f>IF([@Due_Date]="","",IF(TODAY()&gt;[@Due_Date],"Overdue",IF([@Due_Date]-TODAY()&lt;=30,"Due Soon","Compliant")))</f>
        <v/>
      </c>
      <c r="J18" s="30">
        <f>[@Due_Date]-TODAY()</f>
        <v/>
      </c>
    </row>
    <row r="19">
      <c r="B19" s="28" t="inlineStr">
        <is>
          <t>Pressure Vessel Certification</t>
        </is>
      </c>
      <c r="C19" s="28" t="inlineStr">
        <is>
          <t>Factories Inspectorate</t>
        </is>
      </c>
      <c r="D19" s="28" t="inlineStr">
        <is>
          <t>Act 328</t>
        </is>
      </c>
      <c r="E19" s="31" t="n">
        <v>12</v>
      </c>
      <c r="F19" s="29" t="n">
        <v>46139</v>
      </c>
      <c r="G19" s="28" t="inlineStr">
        <is>
          <t>Y. Darko</t>
        </is>
      </c>
      <c r="H19" s="32">
        <f>EDATE([@Last_Completed],[@Frequency_Months])</f>
        <v/>
      </c>
      <c r="I19" s="28">
        <f>IF([@Due_Date]="","",IF(TODAY()&gt;[@Due_Date],"Overdue",IF([@Due_Date]-TODAY()&lt;=30,"Due Soon","Compliant")))</f>
        <v/>
      </c>
      <c r="J19" s="30">
        <f>[@Due_Date]-TODAY()</f>
        <v/>
      </c>
    </row>
    <row r="20">
      <c r="B20" s="28" t="inlineStr">
        <is>
          <t>ICMC Cyanide Code Certification</t>
        </is>
      </c>
      <c r="C20" s="28" t="inlineStr">
        <is>
          <t>ICMI</t>
        </is>
      </c>
      <c r="D20" s="28" t="inlineStr">
        <is>
          <t>Cyanide Code</t>
        </is>
      </c>
      <c r="E20" s="31" t="n">
        <v>36</v>
      </c>
      <c r="F20" s="29" t="n">
        <v>45689</v>
      </c>
      <c r="G20" s="28" t="inlineStr">
        <is>
          <t>J. Boateng</t>
        </is>
      </c>
      <c r="H20" s="32">
        <f>EDATE([@Last_Completed],[@Frequency_Months])</f>
        <v/>
      </c>
      <c r="I20" s="28">
        <f>IF([@Due_Date]="","",IF(TODAY()&gt;[@Due_Date],"Overdue",IF([@Due_Date]-TODAY()&lt;=30,"Due Soon","Compliant")))</f>
        <v/>
      </c>
      <c r="J20" s="30">
        <f>[@Due_Date]-TODAY()</f>
        <v/>
      </c>
    </row>
    <row r="21">
      <c r="B21" s="28" t="inlineStr">
        <is>
          <t>Cyanide Transport Audit</t>
        </is>
      </c>
      <c r="C21" s="28" t="inlineStr">
        <is>
          <t>ICMI</t>
        </is>
      </c>
      <c r="D21" s="28" t="inlineStr">
        <is>
          <t>Cyanide Code</t>
        </is>
      </c>
      <c r="E21" s="31" t="n">
        <v>12</v>
      </c>
      <c r="F21" s="29" t="n">
        <v>45777</v>
      </c>
      <c r="G21" s="28" t="inlineStr">
        <is>
          <t>J. Boateng</t>
        </is>
      </c>
      <c r="H21" s="32">
        <f>EDATE([@Last_Completed],[@Frequency_Months])</f>
        <v/>
      </c>
      <c r="I21" s="28">
        <f>IF([@Due_Date]="","",IF(TODAY()&gt;[@Due_Date],"Overdue",IF([@Due_Date]-TODAY()&lt;=30,"Due Soon","Compliant")))</f>
        <v/>
      </c>
      <c r="J21" s="30">
        <f>[@Due_Date]-TODAY()</f>
        <v/>
      </c>
    </row>
    <row r="22">
      <c r="B22" s="28" t="inlineStr">
        <is>
          <t>Radiation Source Licence</t>
        </is>
      </c>
      <c r="C22" s="28" t="inlineStr">
        <is>
          <t>Nuclear Regulatory Authority</t>
        </is>
      </c>
      <c r="D22" s="28" t="inlineStr">
        <is>
          <t>Act 895</t>
        </is>
      </c>
      <c r="E22" s="31" t="n">
        <v>12</v>
      </c>
      <c r="F22" s="29" t="n">
        <v>46132</v>
      </c>
      <c r="G22" s="28" t="inlineStr">
        <is>
          <t>E. Asante</t>
        </is>
      </c>
      <c r="H22" s="32">
        <f>EDATE([@Last_Completed],[@Frequency_Months])</f>
        <v/>
      </c>
      <c r="I22" s="28">
        <f>IF([@Due_Date]="","",IF(TODAY()&gt;[@Due_Date],"Overdue",IF([@Due_Date]-TODAY()&lt;=30,"Due Soon","Compliant")))</f>
        <v/>
      </c>
      <c r="J22" s="30">
        <f>[@Due_Date]-TODAY()</f>
        <v/>
      </c>
    </row>
    <row r="23">
      <c r="B23" s="28" t="inlineStr">
        <is>
          <t>Water Use Permit</t>
        </is>
      </c>
      <c r="C23" s="28" t="inlineStr">
        <is>
          <t>Water Resources Commission</t>
        </is>
      </c>
      <c r="D23" s="28" t="inlineStr">
        <is>
          <t>Act 522</t>
        </is>
      </c>
      <c r="E23" s="31" t="n">
        <v>12</v>
      </c>
      <c r="F23" s="29" t="n">
        <v>45866</v>
      </c>
      <c r="G23" s="28" t="inlineStr">
        <is>
          <t>K. Mensah</t>
        </is>
      </c>
      <c r="H23" s="32">
        <f>EDATE([@Last_Completed],[@Frequency_Months])</f>
        <v/>
      </c>
      <c r="I23" s="28">
        <f>IF([@Due_Date]="","",IF(TODAY()&gt;[@Due_Date],"Overdue",IF([@Due_Date]-TODAY()&lt;=30,"Due Soon","Compliant")))</f>
        <v/>
      </c>
      <c r="J23" s="30">
        <f>[@Due_Date]-TODAY()</f>
        <v/>
      </c>
    </row>
    <row r="24">
      <c r="B24" s="28" t="inlineStr">
        <is>
          <t>Fire Safety Certificate</t>
        </is>
      </c>
      <c r="C24" s="28" t="inlineStr">
        <is>
          <t>Ghana National Fire Service</t>
        </is>
      </c>
      <c r="D24" s="28" t="inlineStr">
        <is>
          <t>Act 537</t>
        </is>
      </c>
      <c r="E24" s="31" t="n">
        <v>12</v>
      </c>
      <c r="F24" s="29" t="n">
        <v>45966</v>
      </c>
      <c r="G24" s="28" t="inlineStr">
        <is>
          <t>P. Annan</t>
        </is>
      </c>
      <c r="H24" s="32">
        <f>EDATE([@Last_Completed],[@Frequency_Months])</f>
        <v/>
      </c>
      <c r="I24" s="28">
        <f>IF([@Due_Date]="","",IF(TODAY()&gt;[@Due_Date],"Overdue",IF([@Due_Date]-TODAY()&lt;=30,"Due Soon","Compliant")))</f>
        <v/>
      </c>
      <c r="J24" s="30">
        <f>[@Due_Date]-TODAY()</f>
        <v/>
      </c>
    </row>
    <row r="25">
      <c r="B25" s="28" t="inlineStr">
        <is>
          <t>Explosives Licence (Magazine)</t>
        </is>
      </c>
      <c r="C25" s="28" t="inlineStr">
        <is>
          <t>Minerals Commission</t>
        </is>
      </c>
      <c r="D25" s="28" t="inlineStr">
        <is>
          <t>LI 2177</t>
        </is>
      </c>
      <c r="E25" s="31" t="n">
        <v>12</v>
      </c>
      <c r="F25" s="29" t="n">
        <v>45825</v>
      </c>
      <c r="G25" s="28" t="inlineStr">
        <is>
          <t>K. Mensah</t>
        </is>
      </c>
      <c r="H25" s="32">
        <f>EDATE([@Last_Completed],[@Frequency_Months])</f>
        <v/>
      </c>
      <c r="I25" s="28">
        <f>IF([@Due_Date]="","",IF(TODAY()&gt;[@Due_Date],"Overdue",IF([@Due_Date]-TODAY()&lt;=30,"Due Soon","Compliant")))</f>
        <v/>
      </c>
      <c r="J25" s="30">
        <f>[@Due_Date]-TODAY()</f>
        <v/>
      </c>
    </row>
  </sheetData>
  <mergeCells count="12">
    <mergeCell ref="J5:L5"/>
    <mergeCell ref="B11:J11"/>
    <mergeCell ref="B5:D5"/>
    <mergeCell ref="B6:D7"/>
    <mergeCell ref="F5:H5"/>
    <mergeCell ref="A3:K3"/>
    <mergeCell ref="F6:H7"/>
    <mergeCell ref="J6:L7"/>
    <mergeCell ref="B8:D8"/>
    <mergeCell ref="F8:H8"/>
    <mergeCell ref="J8:L8"/>
    <mergeCell ref="A1:K2"/>
  </mergeCells>
  <conditionalFormatting sqref="B8">
    <cfRule type="expression" priority="1" dxfId="0" stopIfTrue="1">
      <formula>B6&gt;=0.95</formula>
    </cfRule>
    <cfRule type="expression" priority="2" dxfId="1" stopIfTrue="1">
      <formula>B6&gt;=0.95*0.9</formula>
    </cfRule>
    <cfRule type="expression" priority="3" dxfId="2" stopIfTrue="1">
      <formula>B6&lt;0.95*0.9</formula>
    </cfRule>
  </conditionalFormatting>
  <conditionalFormatting sqref="J8">
    <cfRule type="expression" priority="4" dxfId="0" stopIfTrue="1">
      <formula>J6=0</formula>
    </cfRule>
    <cfRule type="expression" priority="5" dxfId="2" stopIfTrue="1">
      <formula>J6&gt;0</formula>
    </cfRule>
  </conditionalFormatting>
  <conditionalFormatting sqref="I13:I200">
    <cfRule type="cellIs" priority="6" operator="equal" dxfId="6">
      <formula>"Compliant"</formula>
    </cfRule>
    <cfRule type="cellIs" priority="7" operator="equal" dxfId="4">
      <formula>"Due Soon"</formula>
    </cfRule>
    <cfRule type="cellIs" priority="8" operator="equal" dxfId="3">
      <formula>"Overdue"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8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9" customWidth="1" min="9" max="9"/>
    <col width="8" customWidth="1" min="10" max="10"/>
    <col width="9" customWidth="1" min="11" max="11"/>
    <col width="11" customWidth="1" min="12" max="12"/>
    <col width="10" customWidth="1" min="13" max="13"/>
    <col width="9" customWidth="1" min="14" max="14"/>
    <col width="8" customWidth="1" min="15" max="15"/>
    <col width="8" customWidth="1" min="16" max="16"/>
    <col width="12" customWidth="1" min="17" max="17"/>
    <col width="12" customWidth="1" min="18" max="18"/>
  </cols>
  <sheetData>
    <row r="1" ht="16" customHeight="1">
      <c r="A1" s="1" t="inlineStr">
        <is>
          <t>ASANKO GOLD MINE   |   Environmental Monitoring &amp; Limits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8" customHeight="1">
      <c r="A3" s="3" t="inlineStr">
        <is>
          <t>Health, Safety &amp; Environment Management System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B4" s="58" t="inlineStr">
        <is>
          <t>Environmental compliance % (readings within limit, filter-aware):</t>
        </is>
      </c>
      <c r="C4" s="59">
        <f>IFERROR(SUMPRODUCT(((F_Year="All")+(F_Year="")+(tblEnv[Year]=F_Year))*((F_Month="All")+(F_Month="")+(tblEnv[MonthName]=F_Month))*(tblEnv[PM10_OK]+tblEnv[pH_OK]+tblEnv[CN_OK]))/(3*SUMPRODUCT(((F_Year="All")+(F_Year="")+(tblEnv[Year]=F_Year))*((F_Month="All")+(F_Month="")+(tblEnv[MonthName]=F_Month)))),1)</f>
        <v/>
      </c>
    </row>
    <row r="6">
      <c r="B6" s="5" t="inlineStr">
        <is>
          <t>MONTHLY MONITORING  (regulated parameters flagged vs limit)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</row>
    <row r="7" ht="28" customHeight="1">
      <c r="B7" s="27" t="inlineStr">
        <is>
          <t>Period</t>
        </is>
      </c>
      <c r="C7" s="27" t="inlineStr">
        <is>
          <t>Year</t>
        </is>
      </c>
      <c r="D7" s="27" t="inlineStr">
        <is>
          <t>MonthName</t>
        </is>
      </c>
      <c r="E7" s="27" t="inlineStr">
        <is>
          <t>Waste_t</t>
        </is>
      </c>
      <c r="F7" s="27" t="inlineStr">
        <is>
          <t>Recycling</t>
        </is>
      </c>
      <c r="G7" s="27" t="inlineStr">
        <is>
          <t>Energy_MWh</t>
        </is>
      </c>
      <c r="H7" s="27" t="inlineStr">
        <is>
          <t>Water_m3</t>
        </is>
      </c>
      <c r="I7" s="27" t="inlineStr">
        <is>
          <t>Fuel_L</t>
        </is>
      </c>
      <c r="J7" s="27" t="inlineStr">
        <is>
          <t>PM10</t>
        </is>
      </c>
      <c r="K7" s="27" t="inlineStr">
        <is>
          <t>pH</t>
        </is>
      </c>
      <c r="L7" s="27" t="inlineStr">
        <is>
          <t>WAD_CN</t>
        </is>
      </c>
      <c r="M7" s="27" t="inlineStr">
        <is>
          <t>PM10_Limit</t>
        </is>
      </c>
      <c r="N7" s="27" t="inlineStr">
        <is>
          <t>CN_Limit</t>
        </is>
      </c>
      <c r="O7" s="27" t="inlineStr">
        <is>
          <t>PM10_OK</t>
        </is>
      </c>
      <c r="P7" s="27" t="inlineStr">
        <is>
          <t>pH_OK</t>
        </is>
      </c>
      <c r="Q7" s="27" t="inlineStr">
        <is>
          <t>CN_OK</t>
        </is>
      </c>
      <c r="R7" s="27" t="inlineStr">
        <is>
          <t>Energy_Trend</t>
        </is>
      </c>
      <c r="S7" s="27" t="inlineStr">
        <is>
          <t>Water_Trend</t>
        </is>
      </c>
    </row>
    <row r="8">
      <c r="B8" s="33" t="n">
        <v>45444</v>
      </c>
      <c r="C8" s="28">
        <f>YEAR([@Period])</f>
        <v/>
      </c>
      <c r="D8" s="28">
        <f>TEXT([@Period],"mmm")</f>
        <v/>
      </c>
      <c r="E8" s="60" t="n">
        <v>217.1</v>
      </c>
      <c r="F8" s="37" t="n">
        <v>0.35</v>
      </c>
      <c r="G8" s="34" t="n">
        <v>5295</v>
      </c>
      <c r="H8" s="34" t="n">
        <v>47778</v>
      </c>
      <c r="I8" s="34" t="n">
        <v>532406</v>
      </c>
      <c r="J8" s="61" t="n">
        <v>35.5</v>
      </c>
      <c r="K8" s="62" t="n">
        <v>6.96</v>
      </c>
      <c r="L8" s="61" t="n">
        <v>39</v>
      </c>
      <c r="M8" s="30">
        <f>PM10_LIMIT</f>
        <v/>
      </c>
      <c r="N8" s="30">
        <f>WADCN_LIMIT</f>
        <v/>
      </c>
      <c r="O8" s="30">
        <f>IF([@PM10]&lt;=PM10_LIMIT,1,0)</f>
        <v/>
      </c>
      <c r="P8" s="30">
        <f>IF(AND([@pH]&gt;=PH_MIN,[@pH]&lt;=PH_MAX),1,0)</f>
        <v/>
      </c>
      <c r="Q8" s="30">
        <f>IF([@WAD_CN]&lt;=WADCN_LIMIT,1,0)</f>
        <v/>
      </c>
      <c r="R8" s="28">
        <f>IF(N(OFFSET([@Energy_MWh],-1,0))=0,"",IF([@Energy_MWh]&gt;OFFSET([@Energy_MWh],-1,0),"UP",IF([@Energy_MWh]&lt;OFFSET([@Energy_MWh],-1,0),"DOWN","FLAT")))</f>
        <v/>
      </c>
      <c r="S8" s="28">
        <f>IF(N(OFFSET([@Water_m3],-1,0))=0,"",IF([@Water_m3]&gt;OFFSET([@Water_m3],-1,0),"UP",IF([@Water_m3]&lt;OFFSET([@Water_m3],-1,0),"DOWN","FLAT")))</f>
        <v/>
      </c>
    </row>
    <row r="9">
      <c r="B9" s="33" t="n">
        <v>45474</v>
      </c>
      <c r="C9" s="28">
        <f>YEAR([@Period])</f>
        <v/>
      </c>
      <c r="D9" s="28">
        <f>TEXT([@Period],"mmm")</f>
        <v/>
      </c>
      <c r="E9" s="60" t="n">
        <v>223.5</v>
      </c>
      <c r="F9" s="37" t="n">
        <v>0.546</v>
      </c>
      <c r="G9" s="34" t="n">
        <v>6381</v>
      </c>
      <c r="H9" s="34" t="n">
        <v>39036</v>
      </c>
      <c r="I9" s="34" t="n">
        <v>428858</v>
      </c>
      <c r="J9" s="61" t="n">
        <v>51.6</v>
      </c>
      <c r="K9" s="62" t="n">
        <v>7.96</v>
      </c>
      <c r="L9" s="61" t="n">
        <v>40.4</v>
      </c>
      <c r="M9" s="30">
        <f>PM10_LIMIT</f>
        <v/>
      </c>
      <c r="N9" s="30">
        <f>WADCN_LIMIT</f>
        <v/>
      </c>
      <c r="O9" s="30">
        <f>IF([@PM10]&lt;=PM10_LIMIT,1,0)</f>
        <v/>
      </c>
      <c r="P9" s="30">
        <f>IF(AND([@pH]&gt;=PH_MIN,[@pH]&lt;=PH_MAX),1,0)</f>
        <v/>
      </c>
      <c r="Q9" s="30">
        <f>IF([@WAD_CN]&lt;=WADCN_LIMIT,1,0)</f>
        <v/>
      </c>
      <c r="R9" s="28">
        <f>IF(N(OFFSET([@Energy_MWh],-1,0))=0,"",IF([@Energy_MWh]&gt;OFFSET([@Energy_MWh],-1,0),"UP",IF([@Energy_MWh]&lt;OFFSET([@Energy_MWh],-1,0),"DOWN","FLAT")))</f>
        <v/>
      </c>
      <c r="S9" s="28">
        <f>IF(N(OFFSET([@Water_m3],-1,0))=0,"",IF([@Water_m3]&gt;OFFSET([@Water_m3],-1,0),"UP",IF([@Water_m3]&lt;OFFSET([@Water_m3],-1,0),"DOWN","FLAT")))</f>
        <v/>
      </c>
    </row>
    <row r="10">
      <c r="B10" s="33" t="n">
        <v>45505</v>
      </c>
      <c r="C10" s="28">
        <f>YEAR([@Period])</f>
        <v/>
      </c>
      <c r="D10" s="28">
        <f>TEXT([@Period],"mmm")</f>
        <v/>
      </c>
      <c r="E10" s="60" t="n">
        <v>166.9</v>
      </c>
      <c r="F10" s="37" t="n">
        <v>0.424</v>
      </c>
      <c r="G10" s="34" t="n">
        <v>6450</v>
      </c>
      <c r="H10" s="34" t="n">
        <v>41491</v>
      </c>
      <c r="I10" s="34" t="n">
        <v>534918</v>
      </c>
      <c r="J10" s="61" t="n">
        <v>67.40000000000001</v>
      </c>
      <c r="K10" s="62" t="n">
        <v>7.57</v>
      </c>
      <c r="L10" s="61" t="n">
        <v>28.8</v>
      </c>
      <c r="M10" s="30">
        <f>PM10_LIMIT</f>
        <v/>
      </c>
      <c r="N10" s="30">
        <f>WADCN_LIMIT</f>
        <v/>
      </c>
      <c r="O10" s="30">
        <f>IF([@PM10]&lt;=PM10_LIMIT,1,0)</f>
        <v/>
      </c>
      <c r="P10" s="30">
        <f>IF(AND([@pH]&gt;=PH_MIN,[@pH]&lt;=PH_MAX),1,0)</f>
        <v/>
      </c>
      <c r="Q10" s="30">
        <f>IF([@WAD_CN]&lt;=WADCN_LIMIT,1,0)</f>
        <v/>
      </c>
      <c r="R10" s="28">
        <f>IF(N(OFFSET([@Energy_MWh],-1,0))=0,"",IF([@Energy_MWh]&gt;OFFSET([@Energy_MWh],-1,0),"UP",IF([@Energy_MWh]&lt;OFFSET([@Energy_MWh],-1,0),"DOWN","FLAT")))</f>
        <v/>
      </c>
      <c r="S10" s="28">
        <f>IF(N(OFFSET([@Water_m3],-1,0))=0,"",IF([@Water_m3]&gt;OFFSET([@Water_m3],-1,0),"UP",IF([@Water_m3]&lt;OFFSET([@Water_m3],-1,0),"DOWN","FLAT")))</f>
        <v/>
      </c>
    </row>
    <row r="11">
      <c r="B11" s="33" t="n">
        <v>45536</v>
      </c>
      <c r="C11" s="28">
        <f>YEAR([@Period])</f>
        <v/>
      </c>
      <c r="D11" s="28">
        <f>TEXT([@Period],"mmm")</f>
        <v/>
      </c>
      <c r="E11" s="60" t="n">
        <v>161.9</v>
      </c>
      <c r="F11" s="37" t="n">
        <v>0.351</v>
      </c>
      <c r="G11" s="34" t="n">
        <v>5577</v>
      </c>
      <c r="H11" s="34" t="n">
        <v>42727</v>
      </c>
      <c r="I11" s="34" t="n">
        <v>463907</v>
      </c>
      <c r="J11" s="61" t="n">
        <v>58.8</v>
      </c>
      <c r="K11" s="62" t="n">
        <v>6.86</v>
      </c>
      <c r="L11" s="61" t="n">
        <v>25.4</v>
      </c>
      <c r="M11" s="30">
        <f>PM10_LIMIT</f>
        <v/>
      </c>
      <c r="N11" s="30">
        <f>WADCN_LIMIT</f>
        <v/>
      </c>
      <c r="O11" s="30">
        <f>IF([@PM10]&lt;=PM10_LIMIT,1,0)</f>
        <v/>
      </c>
      <c r="P11" s="30">
        <f>IF(AND([@pH]&gt;=PH_MIN,[@pH]&lt;=PH_MAX),1,0)</f>
        <v/>
      </c>
      <c r="Q11" s="30">
        <f>IF([@WAD_CN]&lt;=WADCN_LIMIT,1,0)</f>
        <v/>
      </c>
      <c r="R11" s="28">
        <f>IF(N(OFFSET([@Energy_MWh],-1,0))=0,"",IF([@Energy_MWh]&gt;OFFSET([@Energy_MWh],-1,0),"UP",IF([@Energy_MWh]&lt;OFFSET([@Energy_MWh],-1,0),"DOWN","FLAT")))</f>
        <v/>
      </c>
      <c r="S11" s="28">
        <f>IF(N(OFFSET([@Water_m3],-1,0))=0,"",IF([@Water_m3]&gt;OFFSET([@Water_m3],-1,0),"UP",IF([@Water_m3]&lt;OFFSET([@Water_m3],-1,0),"DOWN","FLAT")))</f>
        <v/>
      </c>
    </row>
    <row r="12">
      <c r="B12" s="33" t="n">
        <v>45566</v>
      </c>
      <c r="C12" s="28">
        <f>YEAR([@Period])</f>
        <v/>
      </c>
      <c r="D12" s="28">
        <f>TEXT([@Period],"mmm")</f>
        <v/>
      </c>
      <c r="E12" s="60" t="n">
        <v>125.3</v>
      </c>
      <c r="F12" s="37" t="n">
        <v>0.601</v>
      </c>
      <c r="G12" s="34" t="n">
        <v>6464</v>
      </c>
      <c r="H12" s="34" t="n">
        <v>51750</v>
      </c>
      <c r="I12" s="34" t="n">
        <v>547422</v>
      </c>
      <c r="J12" s="61" t="n">
        <v>57.2</v>
      </c>
      <c r="K12" s="62" t="n">
        <v>8.029999999999999</v>
      </c>
      <c r="L12" s="61" t="n">
        <v>26.3</v>
      </c>
      <c r="M12" s="30">
        <f>PM10_LIMIT</f>
        <v/>
      </c>
      <c r="N12" s="30">
        <f>WADCN_LIMIT</f>
        <v/>
      </c>
      <c r="O12" s="30">
        <f>IF([@PM10]&lt;=PM10_LIMIT,1,0)</f>
        <v/>
      </c>
      <c r="P12" s="30">
        <f>IF(AND([@pH]&gt;=PH_MIN,[@pH]&lt;=PH_MAX),1,0)</f>
        <v/>
      </c>
      <c r="Q12" s="30">
        <f>IF([@WAD_CN]&lt;=WADCN_LIMIT,1,0)</f>
        <v/>
      </c>
      <c r="R12" s="28">
        <f>IF(N(OFFSET([@Energy_MWh],-1,0))=0,"",IF([@Energy_MWh]&gt;OFFSET([@Energy_MWh],-1,0),"UP",IF([@Energy_MWh]&lt;OFFSET([@Energy_MWh],-1,0),"DOWN","FLAT")))</f>
        <v/>
      </c>
      <c r="S12" s="28">
        <f>IF(N(OFFSET([@Water_m3],-1,0))=0,"",IF([@Water_m3]&gt;OFFSET([@Water_m3],-1,0),"UP",IF([@Water_m3]&lt;OFFSET([@Water_m3],-1,0),"DOWN","FLAT")))</f>
        <v/>
      </c>
    </row>
    <row r="13">
      <c r="B13" s="33" t="n">
        <v>45597</v>
      </c>
      <c r="C13" s="28">
        <f>YEAR([@Period])</f>
        <v/>
      </c>
      <c r="D13" s="28">
        <f>TEXT([@Period],"mmm")</f>
        <v/>
      </c>
      <c r="E13" s="60" t="n">
        <v>244.3</v>
      </c>
      <c r="F13" s="37" t="n">
        <v>0.461</v>
      </c>
      <c r="G13" s="34" t="n">
        <v>5801</v>
      </c>
      <c r="H13" s="34" t="n">
        <v>50797</v>
      </c>
      <c r="I13" s="34" t="n">
        <v>537144</v>
      </c>
      <c r="J13" s="61" t="n">
        <v>58.8</v>
      </c>
      <c r="K13" s="62" t="n">
        <v>7.02</v>
      </c>
      <c r="L13" s="61" t="n">
        <v>26.2</v>
      </c>
      <c r="M13" s="30">
        <f>PM10_LIMIT</f>
        <v/>
      </c>
      <c r="N13" s="30">
        <f>WADCN_LIMIT</f>
        <v/>
      </c>
      <c r="O13" s="30">
        <f>IF([@PM10]&lt;=PM10_LIMIT,1,0)</f>
        <v/>
      </c>
      <c r="P13" s="30">
        <f>IF(AND([@pH]&gt;=PH_MIN,[@pH]&lt;=PH_MAX),1,0)</f>
        <v/>
      </c>
      <c r="Q13" s="30">
        <f>IF([@WAD_CN]&lt;=WADCN_LIMIT,1,0)</f>
        <v/>
      </c>
      <c r="R13" s="28">
        <f>IF(N(OFFSET([@Energy_MWh],-1,0))=0,"",IF([@Energy_MWh]&gt;OFFSET([@Energy_MWh],-1,0),"UP",IF([@Energy_MWh]&lt;OFFSET([@Energy_MWh],-1,0),"DOWN","FLAT")))</f>
        <v/>
      </c>
      <c r="S13" s="28">
        <f>IF(N(OFFSET([@Water_m3],-1,0))=0,"",IF([@Water_m3]&gt;OFFSET([@Water_m3],-1,0),"UP",IF([@Water_m3]&lt;OFFSET([@Water_m3],-1,0),"DOWN","FLAT")))</f>
        <v/>
      </c>
    </row>
    <row r="14">
      <c r="B14" s="33" t="n">
        <v>45627</v>
      </c>
      <c r="C14" s="28">
        <f>YEAR([@Period])</f>
        <v/>
      </c>
      <c r="D14" s="28">
        <f>TEXT([@Period],"mmm")</f>
        <v/>
      </c>
      <c r="E14" s="60" t="n">
        <v>179.4</v>
      </c>
      <c r="F14" s="37" t="n">
        <v>0.478</v>
      </c>
      <c r="G14" s="34" t="n">
        <v>5666</v>
      </c>
      <c r="H14" s="34" t="n">
        <v>49066</v>
      </c>
      <c r="I14" s="34" t="n">
        <v>451254</v>
      </c>
      <c r="J14" s="61" t="n">
        <v>75.2</v>
      </c>
      <c r="K14" s="62" t="n">
        <v>6.8</v>
      </c>
      <c r="L14" s="61" t="n">
        <v>21.6</v>
      </c>
      <c r="M14" s="30">
        <f>PM10_LIMIT</f>
        <v/>
      </c>
      <c r="N14" s="30">
        <f>WADCN_LIMIT</f>
        <v/>
      </c>
      <c r="O14" s="30">
        <f>IF([@PM10]&lt;=PM10_LIMIT,1,0)</f>
        <v/>
      </c>
      <c r="P14" s="30">
        <f>IF(AND([@pH]&gt;=PH_MIN,[@pH]&lt;=PH_MAX),1,0)</f>
        <v/>
      </c>
      <c r="Q14" s="30">
        <f>IF([@WAD_CN]&lt;=WADCN_LIMIT,1,0)</f>
        <v/>
      </c>
      <c r="R14" s="28">
        <f>IF(N(OFFSET([@Energy_MWh],-1,0))=0,"",IF([@Energy_MWh]&gt;OFFSET([@Energy_MWh],-1,0),"UP",IF([@Energy_MWh]&lt;OFFSET([@Energy_MWh],-1,0),"DOWN","FLAT")))</f>
        <v/>
      </c>
      <c r="S14" s="28">
        <f>IF(N(OFFSET([@Water_m3],-1,0))=0,"",IF([@Water_m3]&gt;OFFSET([@Water_m3],-1,0),"UP",IF([@Water_m3]&lt;OFFSET([@Water_m3],-1,0),"DOWN","FLAT")))</f>
        <v/>
      </c>
    </row>
    <row r="15">
      <c r="B15" s="33" t="n">
        <v>45658</v>
      </c>
      <c r="C15" s="28">
        <f>YEAR([@Period])</f>
        <v/>
      </c>
      <c r="D15" s="28">
        <f>TEXT([@Period],"mmm")</f>
        <v/>
      </c>
      <c r="E15" s="60" t="n">
        <v>169.6</v>
      </c>
      <c r="F15" s="37" t="n">
        <v>0.401</v>
      </c>
      <c r="G15" s="34" t="n">
        <v>5415</v>
      </c>
      <c r="H15" s="34" t="n">
        <v>48418</v>
      </c>
      <c r="I15" s="34" t="n">
        <v>485678</v>
      </c>
      <c r="J15" s="61" t="n">
        <v>39</v>
      </c>
      <c r="K15" s="62" t="n">
        <v>6.79</v>
      </c>
      <c r="L15" s="61" t="n">
        <v>18.5</v>
      </c>
      <c r="M15" s="30">
        <f>PM10_LIMIT</f>
        <v/>
      </c>
      <c r="N15" s="30">
        <f>WADCN_LIMIT</f>
        <v/>
      </c>
      <c r="O15" s="30">
        <f>IF([@PM10]&lt;=PM10_LIMIT,1,0)</f>
        <v/>
      </c>
      <c r="P15" s="30">
        <f>IF(AND([@pH]&gt;=PH_MIN,[@pH]&lt;=PH_MAX),1,0)</f>
        <v/>
      </c>
      <c r="Q15" s="30">
        <f>IF([@WAD_CN]&lt;=WADCN_LIMIT,1,0)</f>
        <v/>
      </c>
      <c r="R15" s="28">
        <f>IF(N(OFFSET([@Energy_MWh],-1,0))=0,"",IF([@Energy_MWh]&gt;OFFSET([@Energy_MWh],-1,0),"UP",IF([@Energy_MWh]&lt;OFFSET([@Energy_MWh],-1,0),"DOWN","FLAT")))</f>
        <v/>
      </c>
      <c r="S15" s="28">
        <f>IF(N(OFFSET([@Water_m3],-1,0))=0,"",IF([@Water_m3]&gt;OFFSET([@Water_m3],-1,0),"UP",IF([@Water_m3]&lt;OFFSET([@Water_m3],-1,0),"DOWN","FLAT")))</f>
        <v/>
      </c>
    </row>
    <row r="16">
      <c r="B16" s="33" t="n">
        <v>45689</v>
      </c>
      <c r="C16" s="28">
        <f>YEAR([@Period])</f>
        <v/>
      </c>
      <c r="D16" s="28">
        <f>TEXT([@Period],"mmm")</f>
        <v/>
      </c>
      <c r="E16" s="60" t="n">
        <v>238.2</v>
      </c>
      <c r="F16" s="37" t="n">
        <v>0.468</v>
      </c>
      <c r="G16" s="34" t="n">
        <v>6729</v>
      </c>
      <c r="H16" s="34" t="n">
        <v>40793</v>
      </c>
      <c r="I16" s="34" t="n">
        <v>445919</v>
      </c>
      <c r="J16" s="61" t="n">
        <v>54.1</v>
      </c>
      <c r="K16" s="62" t="n">
        <v>8.67</v>
      </c>
      <c r="L16" s="61" t="n">
        <v>24.8</v>
      </c>
      <c r="M16" s="30">
        <f>PM10_LIMIT</f>
        <v/>
      </c>
      <c r="N16" s="30">
        <f>WADCN_LIMIT</f>
        <v/>
      </c>
      <c r="O16" s="30">
        <f>IF([@PM10]&lt;=PM10_LIMIT,1,0)</f>
        <v/>
      </c>
      <c r="P16" s="30">
        <f>IF(AND([@pH]&gt;=PH_MIN,[@pH]&lt;=PH_MAX),1,0)</f>
        <v/>
      </c>
      <c r="Q16" s="30">
        <f>IF([@WAD_CN]&lt;=WADCN_LIMIT,1,0)</f>
        <v/>
      </c>
      <c r="R16" s="28">
        <f>IF(N(OFFSET([@Energy_MWh],-1,0))=0,"",IF([@Energy_MWh]&gt;OFFSET([@Energy_MWh],-1,0),"UP",IF([@Energy_MWh]&lt;OFFSET([@Energy_MWh],-1,0),"DOWN","FLAT")))</f>
        <v/>
      </c>
      <c r="S16" s="28">
        <f>IF(N(OFFSET([@Water_m3],-1,0))=0,"",IF([@Water_m3]&gt;OFFSET([@Water_m3],-1,0),"UP",IF([@Water_m3]&lt;OFFSET([@Water_m3],-1,0),"DOWN","FLAT")))</f>
        <v/>
      </c>
    </row>
    <row r="17">
      <c r="B17" s="33" t="n">
        <v>45717</v>
      </c>
      <c r="C17" s="28">
        <f>YEAR([@Period])</f>
        <v/>
      </c>
      <c r="D17" s="28">
        <f>TEXT([@Period],"mmm")</f>
        <v/>
      </c>
      <c r="E17" s="60" t="n">
        <v>137.6</v>
      </c>
      <c r="F17" s="37" t="n">
        <v>0.432</v>
      </c>
      <c r="G17" s="34" t="n">
        <v>6407</v>
      </c>
      <c r="H17" s="34" t="n">
        <v>49844</v>
      </c>
      <c r="I17" s="34" t="n">
        <v>468672</v>
      </c>
      <c r="J17" s="61" t="n">
        <v>46.8</v>
      </c>
      <c r="K17" s="62" t="n">
        <v>7.5</v>
      </c>
      <c r="L17" s="61" t="n">
        <v>17.4</v>
      </c>
      <c r="M17" s="30">
        <f>PM10_LIMIT</f>
        <v/>
      </c>
      <c r="N17" s="30">
        <f>WADCN_LIMIT</f>
        <v/>
      </c>
      <c r="O17" s="30">
        <f>IF([@PM10]&lt;=PM10_LIMIT,1,0)</f>
        <v/>
      </c>
      <c r="P17" s="30">
        <f>IF(AND([@pH]&gt;=PH_MIN,[@pH]&lt;=PH_MAX),1,0)</f>
        <v/>
      </c>
      <c r="Q17" s="30">
        <f>IF([@WAD_CN]&lt;=WADCN_LIMIT,1,0)</f>
        <v/>
      </c>
      <c r="R17" s="28">
        <f>IF(N(OFFSET([@Energy_MWh],-1,0))=0,"",IF([@Energy_MWh]&gt;OFFSET([@Energy_MWh],-1,0),"UP",IF([@Energy_MWh]&lt;OFFSET([@Energy_MWh],-1,0),"DOWN","FLAT")))</f>
        <v/>
      </c>
      <c r="S17" s="28">
        <f>IF(N(OFFSET([@Water_m3],-1,0))=0,"",IF([@Water_m3]&gt;OFFSET([@Water_m3],-1,0),"UP",IF([@Water_m3]&lt;OFFSET([@Water_m3],-1,0),"DOWN","FLAT")))</f>
        <v/>
      </c>
    </row>
    <row r="18">
      <c r="B18" s="33" t="n">
        <v>45748</v>
      </c>
      <c r="C18" s="28">
        <f>YEAR([@Period])</f>
        <v/>
      </c>
      <c r="D18" s="28">
        <f>TEXT([@Period],"mmm")</f>
        <v/>
      </c>
      <c r="E18" s="60" t="n">
        <v>201.6</v>
      </c>
      <c r="F18" s="37" t="n">
        <v>0.617</v>
      </c>
      <c r="G18" s="34" t="n">
        <v>5592</v>
      </c>
      <c r="H18" s="34" t="n">
        <v>46022</v>
      </c>
      <c r="I18" s="34" t="n">
        <v>505534</v>
      </c>
      <c r="J18" s="61" t="n">
        <v>38.3</v>
      </c>
      <c r="K18" s="62" t="n">
        <v>7.8</v>
      </c>
      <c r="L18" s="61" t="n">
        <v>31.1</v>
      </c>
      <c r="M18" s="30">
        <f>PM10_LIMIT</f>
        <v/>
      </c>
      <c r="N18" s="30">
        <f>WADCN_LIMIT</f>
        <v/>
      </c>
      <c r="O18" s="30">
        <f>IF([@PM10]&lt;=PM10_LIMIT,1,0)</f>
        <v/>
      </c>
      <c r="P18" s="30">
        <f>IF(AND([@pH]&gt;=PH_MIN,[@pH]&lt;=PH_MAX),1,0)</f>
        <v/>
      </c>
      <c r="Q18" s="30">
        <f>IF([@WAD_CN]&lt;=WADCN_LIMIT,1,0)</f>
        <v/>
      </c>
      <c r="R18" s="28">
        <f>IF(N(OFFSET([@Energy_MWh],-1,0))=0,"",IF([@Energy_MWh]&gt;OFFSET([@Energy_MWh],-1,0),"UP",IF([@Energy_MWh]&lt;OFFSET([@Energy_MWh],-1,0),"DOWN","FLAT")))</f>
        <v/>
      </c>
      <c r="S18" s="28">
        <f>IF(N(OFFSET([@Water_m3],-1,0))=0,"",IF([@Water_m3]&gt;OFFSET([@Water_m3],-1,0),"UP",IF([@Water_m3]&lt;OFFSET([@Water_m3],-1,0),"DOWN","FLAT")))</f>
        <v/>
      </c>
    </row>
    <row r="19">
      <c r="B19" s="33" t="n">
        <v>45778</v>
      </c>
      <c r="C19" s="28">
        <f>YEAR([@Period])</f>
        <v/>
      </c>
      <c r="D19" s="28">
        <f>TEXT([@Period],"mmm")</f>
        <v/>
      </c>
      <c r="E19" s="60" t="n">
        <v>137.2</v>
      </c>
      <c r="F19" s="37" t="n">
        <v>0.54</v>
      </c>
      <c r="G19" s="34" t="n">
        <v>5411</v>
      </c>
      <c r="H19" s="34" t="n">
        <v>38372</v>
      </c>
      <c r="I19" s="34" t="n">
        <v>488394</v>
      </c>
      <c r="J19" s="61" t="n">
        <v>56.3</v>
      </c>
      <c r="K19" s="62" t="n">
        <v>9.4</v>
      </c>
      <c r="L19" s="61" t="n">
        <v>29.4</v>
      </c>
      <c r="M19" s="30">
        <f>PM10_LIMIT</f>
        <v/>
      </c>
      <c r="N19" s="30">
        <f>WADCN_LIMIT</f>
        <v/>
      </c>
      <c r="O19" s="30">
        <f>IF([@PM10]&lt;=PM10_LIMIT,1,0)</f>
        <v/>
      </c>
      <c r="P19" s="30">
        <f>IF(AND([@pH]&gt;=PH_MIN,[@pH]&lt;=PH_MAX),1,0)</f>
        <v/>
      </c>
      <c r="Q19" s="30">
        <f>IF([@WAD_CN]&lt;=WADCN_LIMIT,1,0)</f>
        <v/>
      </c>
      <c r="R19" s="28">
        <f>IF(N(OFFSET([@Energy_MWh],-1,0))=0,"",IF([@Energy_MWh]&gt;OFFSET([@Energy_MWh],-1,0),"UP",IF([@Energy_MWh]&lt;OFFSET([@Energy_MWh],-1,0),"DOWN","FLAT")))</f>
        <v/>
      </c>
      <c r="S19" s="28">
        <f>IF(N(OFFSET([@Water_m3],-1,0))=0,"",IF([@Water_m3]&gt;OFFSET([@Water_m3],-1,0),"UP",IF([@Water_m3]&lt;OFFSET([@Water_m3],-1,0),"DOWN","FLAT")))</f>
        <v/>
      </c>
    </row>
    <row r="20">
      <c r="B20" s="33" t="n">
        <v>45809</v>
      </c>
      <c r="C20" s="28">
        <f>YEAR([@Period])</f>
        <v/>
      </c>
      <c r="D20" s="28">
        <f>TEXT([@Period],"mmm")</f>
        <v/>
      </c>
      <c r="E20" s="60" t="n">
        <v>238.8</v>
      </c>
      <c r="F20" s="37" t="n">
        <v>0.444</v>
      </c>
      <c r="G20" s="34" t="n">
        <v>6014</v>
      </c>
      <c r="H20" s="34" t="n">
        <v>51640</v>
      </c>
      <c r="I20" s="34" t="n">
        <v>478434</v>
      </c>
      <c r="J20" s="61" t="n">
        <v>34.5</v>
      </c>
      <c r="K20" s="62" t="n">
        <v>6.34</v>
      </c>
      <c r="L20" s="61" t="n">
        <v>43.6</v>
      </c>
      <c r="M20" s="30">
        <f>PM10_LIMIT</f>
        <v/>
      </c>
      <c r="N20" s="30">
        <f>WADCN_LIMIT</f>
        <v/>
      </c>
      <c r="O20" s="30">
        <f>IF([@PM10]&lt;=PM10_LIMIT,1,0)</f>
        <v/>
      </c>
      <c r="P20" s="30">
        <f>IF(AND([@pH]&gt;=PH_MIN,[@pH]&lt;=PH_MAX),1,0)</f>
        <v/>
      </c>
      <c r="Q20" s="30">
        <f>IF([@WAD_CN]&lt;=WADCN_LIMIT,1,0)</f>
        <v/>
      </c>
      <c r="R20" s="28">
        <f>IF(N(OFFSET([@Energy_MWh],-1,0))=0,"",IF([@Energy_MWh]&gt;OFFSET([@Energy_MWh],-1,0),"UP",IF([@Energy_MWh]&lt;OFFSET([@Energy_MWh],-1,0),"DOWN","FLAT")))</f>
        <v/>
      </c>
      <c r="S20" s="28">
        <f>IF(N(OFFSET([@Water_m3],-1,0))=0,"",IF([@Water_m3]&gt;OFFSET([@Water_m3],-1,0),"UP",IF([@Water_m3]&lt;OFFSET([@Water_m3],-1,0),"DOWN","FLAT")))</f>
        <v/>
      </c>
    </row>
    <row r="21">
      <c r="B21" s="33" t="n">
        <v>45839</v>
      </c>
      <c r="C21" s="28">
        <f>YEAR([@Period])</f>
        <v/>
      </c>
      <c r="D21" s="28">
        <f>TEXT([@Period],"mmm")</f>
        <v/>
      </c>
      <c r="E21" s="60" t="n">
        <v>201.3</v>
      </c>
      <c r="F21" s="37" t="n">
        <v>0.409</v>
      </c>
      <c r="G21" s="34" t="n">
        <v>5205</v>
      </c>
      <c r="H21" s="34" t="n">
        <v>41303</v>
      </c>
      <c r="I21" s="34" t="n">
        <v>447040</v>
      </c>
      <c r="J21" s="61" t="n">
        <v>69.5</v>
      </c>
      <c r="K21" s="62" t="n">
        <v>7.67</v>
      </c>
      <c r="L21" s="61" t="n">
        <v>22.9</v>
      </c>
      <c r="M21" s="30">
        <f>PM10_LIMIT</f>
        <v/>
      </c>
      <c r="N21" s="30">
        <f>WADCN_LIMIT</f>
        <v/>
      </c>
      <c r="O21" s="30">
        <f>IF([@PM10]&lt;=PM10_LIMIT,1,0)</f>
        <v/>
      </c>
      <c r="P21" s="30">
        <f>IF(AND([@pH]&gt;=PH_MIN,[@pH]&lt;=PH_MAX),1,0)</f>
        <v/>
      </c>
      <c r="Q21" s="30">
        <f>IF([@WAD_CN]&lt;=WADCN_LIMIT,1,0)</f>
        <v/>
      </c>
      <c r="R21" s="28">
        <f>IF(N(OFFSET([@Energy_MWh],-1,0))=0,"",IF([@Energy_MWh]&gt;OFFSET([@Energy_MWh],-1,0),"UP",IF([@Energy_MWh]&lt;OFFSET([@Energy_MWh],-1,0),"DOWN","FLAT")))</f>
        <v/>
      </c>
      <c r="S21" s="28">
        <f>IF(N(OFFSET([@Water_m3],-1,0))=0,"",IF([@Water_m3]&gt;OFFSET([@Water_m3],-1,0),"UP",IF([@Water_m3]&lt;OFFSET([@Water_m3],-1,0),"DOWN","FLAT")))</f>
        <v/>
      </c>
    </row>
    <row r="22">
      <c r="B22" s="33" t="n">
        <v>45870</v>
      </c>
      <c r="C22" s="28">
        <f>YEAR([@Period])</f>
        <v/>
      </c>
      <c r="D22" s="28">
        <f>TEXT([@Period],"mmm")</f>
        <v/>
      </c>
      <c r="E22" s="60" t="n">
        <v>238.3</v>
      </c>
      <c r="F22" s="37" t="n">
        <v>0.5</v>
      </c>
      <c r="G22" s="34" t="n">
        <v>5212</v>
      </c>
      <c r="H22" s="34" t="n">
        <v>40642</v>
      </c>
      <c r="I22" s="34" t="n">
        <v>550379</v>
      </c>
      <c r="J22" s="61" t="n">
        <v>32.7</v>
      </c>
      <c r="K22" s="62" t="n">
        <v>7.53</v>
      </c>
      <c r="L22" s="61" t="n">
        <v>29.9</v>
      </c>
      <c r="M22" s="30">
        <f>PM10_LIMIT</f>
        <v/>
      </c>
      <c r="N22" s="30">
        <f>WADCN_LIMIT</f>
        <v/>
      </c>
      <c r="O22" s="30">
        <f>IF([@PM10]&lt;=PM10_LIMIT,1,0)</f>
        <v/>
      </c>
      <c r="P22" s="30">
        <f>IF(AND([@pH]&gt;=PH_MIN,[@pH]&lt;=PH_MAX),1,0)</f>
        <v/>
      </c>
      <c r="Q22" s="30">
        <f>IF([@WAD_CN]&lt;=WADCN_LIMIT,1,0)</f>
        <v/>
      </c>
      <c r="R22" s="28">
        <f>IF(N(OFFSET([@Energy_MWh],-1,0))=0,"",IF([@Energy_MWh]&gt;OFFSET([@Energy_MWh],-1,0),"UP",IF([@Energy_MWh]&lt;OFFSET([@Energy_MWh],-1,0),"DOWN","FLAT")))</f>
        <v/>
      </c>
      <c r="S22" s="28">
        <f>IF(N(OFFSET([@Water_m3],-1,0))=0,"",IF([@Water_m3]&gt;OFFSET([@Water_m3],-1,0),"UP",IF([@Water_m3]&lt;OFFSET([@Water_m3],-1,0),"DOWN","FLAT")))</f>
        <v/>
      </c>
    </row>
    <row r="23">
      <c r="B23" s="33" t="n">
        <v>45901</v>
      </c>
      <c r="C23" s="28">
        <f>YEAR([@Period])</f>
        <v/>
      </c>
      <c r="D23" s="28">
        <f>TEXT([@Period],"mmm")</f>
        <v/>
      </c>
      <c r="E23" s="60" t="n">
        <v>220.3</v>
      </c>
      <c r="F23" s="37" t="n">
        <v>0.5580000000000001</v>
      </c>
      <c r="G23" s="34" t="n">
        <v>6761</v>
      </c>
      <c r="H23" s="34" t="n">
        <v>38254</v>
      </c>
      <c r="I23" s="34" t="n">
        <v>553313</v>
      </c>
      <c r="J23" s="61" t="n">
        <v>84.5</v>
      </c>
      <c r="K23" s="62" t="n">
        <v>7.32</v>
      </c>
      <c r="L23" s="61" t="n">
        <v>19.9</v>
      </c>
      <c r="M23" s="30">
        <f>PM10_LIMIT</f>
        <v/>
      </c>
      <c r="N23" s="30">
        <f>WADCN_LIMIT</f>
        <v/>
      </c>
      <c r="O23" s="30">
        <f>IF([@PM10]&lt;=PM10_LIMIT,1,0)</f>
        <v/>
      </c>
      <c r="P23" s="30">
        <f>IF(AND([@pH]&gt;=PH_MIN,[@pH]&lt;=PH_MAX),1,0)</f>
        <v/>
      </c>
      <c r="Q23" s="30">
        <f>IF([@WAD_CN]&lt;=WADCN_LIMIT,1,0)</f>
        <v/>
      </c>
      <c r="R23" s="28">
        <f>IF(N(OFFSET([@Energy_MWh],-1,0))=0,"",IF([@Energy_MWh]&gt;OFFSET([@Energy_MWh],-1,0),"UP",IF([@Energy_MWh]&lt;OFFSET([@Energy_MWh],-1,0),"DOWN","FLAT")))</f>
        <v/>
      </c>
      <c r="S23" s="28">
        <f>IF(N(OFFSET([@Water_m3],-1,0))=0,"",IF([@Water_m3]&gt;OFFSET([@Water_m3],-1,0),"UP",IF([@Water_m3]&lt;OFFSET([@Water_m3],-1,0),"DOWN","FLAT")))</f>
        <v/>
      </c>
    </row>
    <row r="24">
      <c r="B24" s="33" t="n">
        <v>45931</v>
      </c>
      <c r="C24" s="28">
        <f>YEAR([@Period])</f>
        <v/>
      </c>
      <c r="D24" s="28">
        <f>TEXT([@Period],"mmm")</f>
        <v/>
      </c>
      <c r="E24" s="60" t="n">
        <v>199.1</v>
      </c>
      <c r="F24" s="37" t="n">
        <v>0.447</v>
      </c>
      <c r="G24" s="34" t="n">
        <v>6526</v>
      </c>
      <c r="H24" s="34" t="n">
        <v>41696</v>
      </c>
      <c r="I24" s="34" t="n">
        <v>488914</v>
      </c>
      <c r="J24" s="61" t="n">
        <v>49.9</v>
      </c>
      <c r="K24" s="62" t="n">
        <v>6.92</v>
      </c>
      <c r="L24" s="61" t="n">
        <v>24.6</v>
      </c>
      <c r="M24" s="30">
        <f>PM10_LIMIT</f>
        <v/>
      </c>
      <c r="N24" s="30">
        <f>WADCN_LIMIT</f>
        <v/>
      </c>
      <c r="O24" s="30">
        <f>IF([@PM10]&lt;=PM10_LIMIT,1,0)</f>
        <v/>
      </c>
      <c r="P24" s="30">
        <f>IF(AND([@pH]&gt;=PH_MIN,[@pH]&lt;=PH_MAX),1,0)</f>
        <v/>
      </c>
      <c r="Q24" s="30">
        <f>IF([@WAD_CN]&lt;=WADCN_LIMIT,1,0)</f>
        <v/>
      </c>
      <c r="R24" s="28">
        <f>IF(N(OFFSET([@Energy_MWh],-1,0))=0,"",IF([@Energy_MWh]&gt;OFFSET([@Energy_MWh],-1,0),"UP",IF([@Energy_MWh]&lt;OFFSET([@Energy_MWh],-1,0),"DOWN","FLAT")))</f>
        <v/>
      </c>
      <c r="S24" s="28">
        <f>IF(N(OFFSET([@Water_m3],-1,0))=0,"",IF([@Water_m3]&gt;OFFSET([@Water_m3],-1,0),"UP",IF([@Water_m3]&lt;OFFSET([@Water_m3],-1,0),"DOWN","FLAT")))</f>
        <v/>
      </c>
    </row>
    <row r="25">
      <c r="B25" s="33" t="n">
        <v>45962</v>
      </c>
      <c r="C25" s="28">
        <f>YEAR([@Period])</f>
        <v/>
      </c>
      <c r="D25" s="28">
        <f>TEXT([@Period],"mmm")</f>
        <v/>
      </c>
      <c r="E25" s="60" t="n">
        <v>187.9</v>
      </c>
      <c r="F25" s="37" t="n">
        <v>0.528</v>
      </c>
      <c r="G25" s="34" t="n">
        <v>6279</v>
      </c>
      <c r="H25" s="34" t="n">
        <v>47932</v>
      </c>
      <c r="I25" s="34" t="n">
        <v>535262</v>
      </c>
      <c r="J25" s="61" t="n">
        <v>87.40000000000001</v>
      </c>
      <c r="K25" s="62" t="n">
        <v>8.01</v>
      </c>
      <c r="L25" s="61" t="n">
        <v>23.6</v>
      </c>
      <c r="M25" s="30">
        <f>PM10_LIMIT</f>
        <v/>
      </c>
      <c r="N25" s="30">
        <f>WADCN_LIMIT</f>
        <v/>
      </c>
      <c r="O25" s="30">
        <f>IF([@PM10]&lt;=PM10_LIMIT,1,0)</f>
        <v/>
      </c>
      <c r="P25" s="30">
        <f>IF(AND([@pH]&gt;=PH_MIN,[@pH]&lt;=PH_MAX),1,0)</f>
        <v/>
      </c>
      <c r="Q25" s="30">
        <f>IF([@WAD_CN]&lt;=WADCN_LIMIT,1,0)</f>
        <v/>
      </c>
      <c r="R25" s="28">
        <f>IF(N(OFFSET([@Energy_MWh],-1,0))=0,"",IF([@Energy_MWh]&gt;OFFSET([@Energy_MWh],-1,0),"UP",IF([@Energy_MWh]&lt;OFFSET([@Energy_MWh],-1,0),"DOWN","FLAT")))</f>
        <v/>
      </c>
      <c r="S25" s="28">
        <f>IF(N(OFFSET([@Water_m3],-1,0))=0,"",IF([@Water_m3]&gt;OFFSET([@Water_m3],-1,0),"UP",IF([@Water_m3]&lt;OFFSET([@Water_m3],-1,0),"DOWN","FLAT")))</f>
        <v/>
      </c>
    </row>
    <row r="26">
      <c r="B26" s="33" t="n">
        <v>45992</v>
      </c>
      <c r="C26" s="28">
        <f>YEAR([@Period])</f>
        <v/>
      </c>
      <c r="D26" s="28">
        <f>TEXT([@Period],"mmm")</f>
        <v/>
      </c>
      <c r="E26" s="60" t="n">
        <v>130.8</v>
      </c>
      <c r="F26" s="37" t="n">
        <v>0.409</v>
      </c>
      <c r="G26" s="34" t="n">
        <v>6467</v>
      </c>
      <c r="H26" s="34" t="n">
        <v>44091</v>
      </c>
      <c r="I26" s="34" t="n">
        <v>489726</v>
      </c>
      <c r="J26" s="61" t="n">
        <v>43.6</v>
      </c>
      <c r="K26" s="62" t="n">
        <v>7.2</v>
      </c>
      <c r="L26" s="61" t="n">
        <v>35.2</v>
      </c>
      <c r="M26" s="30">
        <f>PM10_LIMIT</f>
        <v/>
      </c>
      <c r="N26" s="30">
        <f>WADCN_LIMIT</f>
        <v/>
      </c>
      <c r="O26" s="30">
        <f>IF([@PM10]&lt;=PM10_LIMIT,1,0)</f>
        <v/>
      </c>
      <c r="P26" s="30">
        <f>IF(AND([@pH]&gt;=PH_MIN,[@pH]&lt;=PH_MAX),1,0)</f>
        <v/>
      </c>
      <c r="Q26" s="30">
        <f>IF([@WAD_CN]&lt;=WADCN_LIMIT,1,0)</f>
        <v/>
      </c>
      <c r="R26" s="28">
        <f>IF(N(OFFSET([@Energy_MWh],-1,0))=0,"",IF([@Energy_MWh]&gt;OFFSET([@Energy_MWh],-1,0),"UP",IF([@Energy_MWh]&lt;OFFSET([@Energy_MWh],-1,0),"DOWN","FLAT")))</f>
        <v/>
      </c>
      <c r="S26" s="28">
        <f>IF(N(OFFSET([@Water_m3],-1,0))=0,"",IF([@Water_m3]&gt;OFFSET([@Water_m3],-1,0),"UP",IF([@Water_m3]&lt;OFFSET([@Water_m3],-1,0),"DOWN","FLAT")))</f>
        <v/>
      </c>
    </row>
    <row r="27">
      <c r="B27" s="33" t="n">
        <v>46023</v>
      </c>
      <c r="C27" s="28">
        <f>YEAR([@Period])</f>
        <v/>
      </c>
      <c r="D27" s="28">
        <f>TEXT([@Period],"mmm")</f>
        <v/>
      </c>
      <c r="E27" s="60" t="n">
        <v>135.6</v>
      </c>
      <c r="F27" s="37" t="n">
        <v>0.416</v>
      </c>
      <c r="G27" s="34" t="n">
        <v>6361</v>
      </c>
      <c r="H27" s="34" t="n">
        <v>48862</v>
      </c>
      <c r="I27" s="34" t="n">
        <v>499168</v>
      </c>
      <c r="J27" s="61" t="n">
        <v>64.59999999999999</v>
      </c>
      <c r="K27" s="62" t="n">
        <v>7.86</v>
      </c>
      <c r="L27" s="61" t="n">
        <v>27.3</v>
      </c>
      <c r="M27" s="30">
        <f>PM10_LIMIT</f>
        <v/>
      </c>
      <c r="N27" s="30">
        <f>WADCN_LIMIT</f>
        <v/>
      </c>
      <c r="O27" s="30">
        <f>IF([@PM10]&lt;=PM10_LIMIT,1,0)</f>
        <v/>
      </c>
      <c r="P27" s="30">
        <f>IF(AND([@pH]&gt;=PH_MIN,[@pH]&lt;=PH_MAX),1,0)</f>
        <v/>
      </c>
      <c r="Q27" s="30">
        <f>IF([@WAD_CN]&lt;=WADCN_LIMIT,1,0)</f>
        <v/>
      </c>
      <c r="R27" s="28">
        <f>IF(N(OFFSET([@Energy_MWh],-1,0))=0,"",IF([@Energy_MWh]&gt;OFFSET([@Energy_MWh],-1,0),"UP",IF([@Energy_MWh]&lt;OFFSET([@Energy_MWh],-1,0),"DOWN","FLAT")))</f>
        <v/>
      </c>
      <c r="S27" s="28">
        <f>IF(N(OFFSET([@Water_m3],-1,0))=0,"",IF([@Water_m3]&gt;OFFSET([@Water_m3],-1,0),"UP",IF([@Water_m3]&lt;OFFSET([@Water_m3],-1,0),"DOWN","FLAT")))</f>
        <v/>
      </c>
    </row>
    <row r="28">
      <c r="B28" s="33" t="n">
        <v>46054</v>
      </c>
      <c r="C28" s="28">
        <f>YEAR([@Period])</f>
        <v/>
      </c>
      <c r="D28" s="28">
        <f>TEXT([@Period],"mmm")</f>
        <v/>
      </c>
      <c r="E28" s="60" t="n">
        <v>206</v>
      </c>
      <c r="F28" s="37" t="n">
        <v>0.356</v>
      </c>
      <c r="G28" s="34" t="n">
        <v>6507</v>
      </c>
      <c r="H28" s="34" t="n">
        <v>48688</v>
      </c>
      <c r="I28" s="34" t="n">
        <v>463151</v>
      </c>
      <c r="J28" s="61" t="n">
        <v>47.2</v>
      </c>
      <c r="K28" s="62" t="n">
        <v>7.66</v>
      </c>
      <c r="L28" s="61" t="n">
        <v>61.5</v>
      </c>
      <c r="M28" s="30">
        <f>PM10_LIMIT</f>
        <v/>
      </c>
      <c r="N28" s="30">
        <f>WADCN_LIMIT</f>
        <v/>
      </c>
      <c r="O28" s="30">
        <f>IF([@PM10]&lt;=PM10_LIMIT,1,0)</f>
        <v/>
      </c>
      <c r="P28" s="30">
        <f>IF(AND([@pH]&gt;=PH_MIN,[@pH]&lt;=PH_MAX),1,0)</f>
        <v/>
      </c>
      <c r="Q28" s="30">
        <f>IF([@WAD_CN]&lt;=WADCN_LIMIT,1,0)</f>
        <v/>
      </c>
      <c r="R28" s="28">
        <f>IF(N(OFFSET([@Energy_MWh],-1,0))=0,"",IF([@Energy_MWh]&gt;OFFSET([@Energy_MWh],-1,0),"UP",IF([@Energy_MWh]&lt;OFFSET([@Energy_MWh],-1,0),"DOWN","FLAT")))</f>
        <v/>
      </c>
      <c r="S28" s="28">
        <f>IF(N(OFFSET([@Water_m3],-1,0))=0,"",IF([@Water_m3]&gt;OFFSET([@Water_m3],-1,0),"UP",IF([@Water_m3]&lt;OFFSET([@Water_m3],-1,0),"DOWN","FLAT")))</f>
        <v/>
      </c>
    </row>
    <row r="29">
      <c r="B29" s="33" t="n">
        <v>46082</v>
      </c>
      <c r="C29" s="28">
        <f>YEAR([@Period])</f>
        <v/>
      </c>
      <c r="D29" s="28">
        <f>TEXT([@Period],"mmm")</f>
        <v/>
      </c>
      <c r="E29" s="60" t="n">
        <v>147.1</v>
      </c>
      <c r="F29" s="37" t="n">
        <v>0.534</v>
      </c>
      <c r="G29" s="34" t="n">
        <v>6694</v>
      </c>
      <c r="H29" s="34" t="n">
        <v>46068</v>
      </c>
      <c r="I29" s="34" t="n">
        <v>499494</v>
      </c>
      <c r="J29" s="61" t="n">
        <v>45.6</v>
      </c>
      <c r="K29" s="62" t="n">
        <v>8.91</v>
      </c>
      <c r="L29" s="61" t="n">
        <v>29.6</v>
      </c>
      <c r="M29" s="30">
        <f>PM10_LIMIT</f>
        <v/>
      </c>
      <c r="N29" s="30">
        <f>WADCN_LIMIT</f>
        <v/>
      </c>
      <c r="O29" s="30">
        <f>IF([@PM10]&lt;=PM10_LIMIT,1,0)</f>
        <v/>
      </c>
      <c r="P29" s="30">
        <f>IF(AND([@pH]&gt;=PH_MIN,[@pH]&lt;=PH_MAX),1,0)</f>
        <v/>
      </c>
      <c r="Q29" s="30">
        <f>IF([@WAD_CN]&lt;=WADCN_LIMIT,1,0)</f>
        <v/>
      </c>
      <c r="R29" s="28">
        <f>IF(N(OFFSET([@Energy_MWh],-1,0))=0,"",IF([@Energy_MWh]&gt;OFFSET([@Energy_MWh],-1,0),"UP",IF([@Energy_MWh]&lt;OFFSET([@Energy_MWh],-1,0),"DOWN","FLAT")))</f>
        <v/>
      </c>
      <c r="S29" s="28">
        <f>IF(N(OFFSET([@Water_m3],-1,0))=0,"",IF([@Water_m3]&gt;OFFSET([@Water_m3],-1,0),"UP",IF([@Water_m3]&lt;OFFSET([@Water_m3],-1,0),"DOWN","FLAT")))</f>
        <v/>
      </c>
    </row>
    <row r="30">
      <c r="B30" s="33" t="n">
        <v>46113</v>
      </c>
      <c r="C30" s="28">
        <f>YEAR([@Period])</f>
        <v/>
      </c>
      <c r="D30" s="28">
        <f>TEXT([@Period],"mmm")</f>
        <v/>
      </c>
      <c r="E30" s="60" t="n">
        <v>175.5</v>
      </c>
      <c r="F30" s="37" t="n">
        <v>0.593</v>
      </c>
      <c r="G30" s="34" t="n">
        <v>6488</v>
      </c>
      <c r="H30" s="34" t="n">
        <v>50984</v>
      </c>
      <c r="I30" s="34" t="n">
        <v>441396</v>
      </c>
      <c r="J30" s="61" t="n">
        <v>50.6</v>
      </c>
      <c r="K30" s="62" t="n">
        <v>8.119999999999999</v>
      </c>
      <c r="L30" s="61" t="n">
        <v>39.4</v>
      </c>
      <c r="M30" s="30">
        <f>PM10_LIMIT</f>
        <v/>
      </c>
      <c r="N30" s="30">
        <f>WADCN_LIMIT</f>
        <v/>
      </c>
      <c r="O30" s="30">
        <f>IF([@PM10]&lt;=PM10_LIMIT,1,0)</f>
        <v/>
      </c>
      <c r="P30" s="30">
        <f>IF(AND([@pH]&gt;=PH_MIN,[@pH]&lt;=PH_MAX),1,0)</f>
        <v/>
      </c>
      <c r="Q30" s="30">
        <f>IF([@WAD_CN]&lt;=WADCN_LIMIT,1,0)</f>
        <v/>
      </c>
      <c r="R30" s="28">
        <f>IF(N(OFFSET([@Energy_MWh],-1,0))=0,"",IF([@Energy_MWh]&gt;OFFSET([@Energy_MWh],-1,0),"UP",IF([@Energy_MWh]&lt;OFFSET([@Energy_MWh],-1,0),"DOWN","FLAT")))</f>
        <v/>
      </c>
      <c r="S30" s="28">
        <f>IF(N(OFFSET([@Water_m3],-1,0))=0,"",IF([@Water_m3]&gt;OFFSET([@Water_m3],-1,0),"UP",IF([@Water_m3]&lt;OFFSET([@Water_m3],-1,0),"DOWN","FLAT")))</f>
        <v/>
      </c>
    </row>
    <row r="31">
      <c r="B31" s="33" t="n">
        <v>46143</v>
      </c>
      <c r="C31" s="28">
        <f>YEAR([@Period])</f>
        <v/>
      </c>
      <c r="D31" s="28">
        <f>TEXT([@Period],"mmm")</f>
        <v/>
      </c>
      <c r="E31" s="60" t="n">
        <v>148.1</v>
      </c>
      <c r="F31" s="37" t="n">
        <v>0.5610000000000001</v>
      </c>
      <c r="G31" s="34" t="n">
        <v>6275</v>
      </c>
      <c r="H31" s="34" t="n">
        <v>47061</v>
      </c>
      <c r="I31" s="34" t="n">
        <v>457378</v>
      </c>
      <c r="J31" s="61" t="n">
        <v>47.4</v>
      </c>
      <c r="K31" s="62" t="n">
        <v>6.73</v>
      </c>
      <c r="L31" s="61" t="n">
        <v>35.4</v>
      </c>
      <c r="M31" s="30">
        <f>PM10_LIMIT</f>
        <v/>
      </c>
      <c r="N31" s="30">
        <f>WADCN_LIMIT</f>
        <v/>
      </c>
      <c r="O31" s="30">
        <f>IF([@PM10]&lt;=PM10_LIMIT,1,0)</f>
        <v/>
      </c>
      <c r="P31" s="30">
        <f>IF(AND([@pH]&gt;=PH_MIN,[@pH]&lt;=PH_MAX),1,0)</f>
        <v/>
      </c>
      <c r="Q31" s="30">
        <f>IF([@WAD_CN]&lt;=WADCN_LIMIT,1,0)</f>
        <v/>
      </c>
      <c r="R31" s="28">
        <f>IF(N(OFFSET([@Energy_MWh],-1,0))=0,"",IF([@Energy_MWh]&gt;OFFSET([@Energy_MWh],-1,0),"UP",IF([@Energy_MWh]&lt;OFFSET([@Energy_MWh],-1,0),"DOWN","FLAT")))</f>
        <v/>
      </c>
      <c r="S31" s="28">
        <f>IF(N(OFFSET([@Water_m3],-1,0))=0,"",IF([@Water_m3]&gt;OFFSET([@Water_m3],-1,0),"UP",IF([@Water_m3]&lt;OFFSET([@Water_m3],-1,0),"DOWN","FLAT")))</f>
        <v/>
      </c>
    </row>
  </sheetData>
  <mergeCells count="3">
    <mergeCell ref="A1:T2"/>
    <mergeCell ref="B6:T6"/>
    <mergeCell ref="A3:T3"/>
  </mergeCells>
  <conditionalFormatting sqref="O8:O31">
    <cfRule type="cellIs" priority="1" operator="equal" dxfId="3">
      <formula>0</formula>
    </cfRule>
    <cfRule type="cellIs" priority="2" operator="equal" dxfId="5">
      <formula>1</formula>
    </cfRule>
  </conditionalFormatting>
  <conditionalFormatting sqref="P8:P31">
    <cfRule type="cellIs" priority="3" operator="equal" dxfId="3">
      <formula>0</formula>
    </cfRule>
    <cfRule type="cellIs" priority="4" operator="equal" dxfId="5">
      <formula>1</formula>
    </cfRule>
  </conditionalFormatting>
  <conditionalFormatting sqref="Q8:Q31">
    <cfRule type="cellIs" priority="5" operator="equal" dxfId="3">
      <formula>0</formula>
    </cfRule>
    <cfRule type="cellIs" priority="6" operator="equal" dxfId="5">
      <formula>1</formula>
    </cfRule>
  </conditionalFormatting>
  <conditionalFormatting sqref="R8:R31">
    <cfRule type="cellIs" priority="7" operator="equal" dxfId="3">
      <formula>"UP"</formula>
    </cfRule>
    <cfRule type="cellIs" priority="8" operator="equal" dxfId="6">
      <formula>"DOWN"</formula>
    </cfRule>
  </conditionalFormatting>
  <conditionalFormatting sqref="S8:S31">
    <cfRule type="cellIs" priority="9" operator="equal" dxfId="3">
      <formula>"UP"</formula>
    </cfRule>
    <cfRule type="cellIs" priority="10" operator="equal" dxfId="6">
      <formula>"DOWN"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34" customWidth="1" min="3" max="3"/>
    <col width="12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</cols>
  <sheetData>
    <row r="1" ht="16" customHeight="1">
      <c r="A1" s="1" t="inlineStr">
        <is>
          <t>ASANKO GOLD MINE   |   Contractor HSE Performance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18" customHeight="1">
      <c r="A3" s="3" t="inlineStr">
        <is>
          <t>Health, Safety &amp; Environment Management System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5">
      <c r="B5" s="5" t="inlineStr">
        <is>
          <t>OWNER vs CONTRACTOR  (man-hours &amp; recordables live from the data spine)</t>
        </is>
      </c>
      <c r="C5" s="6" t="n"/>
      <c r="D5" s="6" t="n"/>
      <c r="E5" s="6" t="n"/>
      <c r="F5" s="6" t="n"/>
      <c r="G5" s="6" t="n"/>
      <c r="H5" s="6" t="n"/>
      <c r="I5" s="6" t="n"/>
    </row>
    <row r="6" ht="28" customHeight="1">
      <c r="B6" s="27" t="inlineStr">
        <is>
          <t>Company</t>
        </is>
      </c>
      <c r="C6" s="27" t="inlineStr">
        <is>
          <t>Scope</t>
        </is>
      </c>
      <c r="D6" s="27" t="inlineStr">
        <is>
          <t>ManHours</t>
        </is>
      </c>
      <c r="E6" s="27" t="inlineStr">
        <is>
          <t>Recordables</t>
        </is>
      </c>
      <c r="F6" s="27" t="inlineStr">
        <is>
          <t>LTIs</t>
        </is>
      </c>
      <c r="G6" s="27" t="inlineStr">
        <is>
          <t>TRIFR</t>
        </is>
      </c>
      <c r="H6" s="27" t="inlineStr">
        <is>
          <t>LTIFR</t>
        </is>
      </c>
      <c r="I6" s="27" t="inlineStr">
        <is>
          <t>Target</t>
        </is>
      </c>
    </row>
    <row r="7">
      <c r="B7" s="28" t="inlineStr">
        <is>
          <t>Owner (Asanko)</t>
        </is>
      </c>
      <c r="C7" s="28" t="inlineStr">
        <is>
          <t>Process plant, admin, environment</t>
        </is>
      </c>
      <c r="D7" s="63">
        <f>SUMPRODUCT((tblActivity[Company]="Owner (Asanko)")*tblActivity[ManHours])</f>
        <v/>
      </c>
      <c r="E7" s="30">
        <f>SUMPRODUCT((tblIncidents[Company]="Owner (Asanko)")*tblIncidents[Recordable])</f>
        <v/>
      </c>
      <c r="F7" s="30">
        <f>SUMPRODUCT((tblIncidents[Company]="Owner (Asanko)")*tblIncidents[LTI])</f>
        <v/>
      </c>
      <c r="G7" s="64">
        <f>IF([@ManHours]=0,0,[@Recordables]/[@ManHours]*RATE_BASE)</f>
        <v/>
      </c>
      <c r="H7" s="64">
        <f>IF([@ManHours]=0,0,[@LTIs]/[@ManHours]*RATE_BASE)</f>
        <v/>
      </c>
      <c r="I7" s="64">
        <f>TARGET_TRIFR</f>
        <v/>
      </c>
    </row>
    <row r="8">
      <c r="B8" s="28" t="inlineStr">
        <is>
          <t>AUMS (Mining Contractor)</t>
        </is>
      </c>
      <c r="C8" s="28" t="inlineStr">
        <is>
          <t>Load &amp; haul, drilling, pit ops</t>
        </is>
      </c>
      <c r="D8" s="63">
        <f>SUMPRODUCT((tblActivity[Company]="AUMS (Mining Contractor)")*tblActivity[ManHours])</f>
        <v/>
      </c>
      <c r="E8" s="30">
        <f>SUMPRODUCT((tblIncidents[Company]="AUMS (Mining Contractor)")*tblIncidents[Recordable])</f>
        <v/>
      </c>
      <c r="F8" s="30">
        <f>SUMPRODUCT((tblIncidents[Company]="AUMS (Mining Contractor)")*tblIncidents[LTI])</f>
        <v/>
      </c>
      <c r="G8" s="64">
        <f>IF([@ManHours]=0,0,[@Recordables]/[@ManHours]*RATE_BASE)</f>
        <v/>
      </c>
      <c r="H8" s="64">
        <f>IF([@ManHours]=0,0,[@LTIs]/[@ManHours]*RATE_BASE)</f>
        <v/>
      </c>
      <c r="I8" s="64">
        <f>TARGET_TRIFR</f>
        <v/>
      </c>
    </row>
    <row r="9">
      <c r="B9" s="28" t="inlineStr">
        <is>
          <t>Maxam (Blasting)</t>
        </is>
      </c>
      <c r="C9" s="28" t="inlineStr">
        <is>
          <t>Explosives supply &amp; blasting</t>
        </is>
      </c>
      <c r="D9" s="63">
        <f>SUMPRODUCT((tblActivity[Company]="Maxam (Blasting)")*tblActivity[ManHours])</f>
        <v/>
      </c>
      <c r="E9" s="30">
        <f>SUMPRODUCT((tblIncidents[Company]="Maxam (Blasting)")*tblIncidents[Recordable])</f>
        <v/>
      </c>
      <c r="F9" s="30">
        <f>SUMPRODUCT((tblIncidents[Company]="Maxam (Blasting)")*tblIncidents[LTI])</f>
        <v/>
      </c>
      <c r="G9" s="64">
        <f>IF([@ManHours]=0,0,[@Recordables]/[@ManHours]*RATE_BASE)</f>
        <v/>
      </c>
      <c r="H9" s="64">
        <f>IF([@ManHours]=0,0,[@LTIs]/[@ManHours]*RATE_BASE)</f>
        <v/>
      </c>
      <c r="I9" s="64">
        <f>TARGET_TRIFR</f>
        <v/>
      </c>
    </row>
    <row r="10">
      <c r="B10" s="28" t="inlineStr">
        <is>
          <t>SGS (Laboratory)</t>
        </is>
      </c>
      <c r="C10" s="28" t="inlineStr">
        <is>
          <t>Assay &amp; sample preparation</t>
        </is>
      </c>
      <c r="D10" s="63">
        <f>SUMPRODUCT((tblActivity[Company]="SGS (Laboratory)")*tblActivity[ManHours])</f>
        <v/>
      </c>
      <c r="E10" s="30">
        <f>SUMPRODUCT((tblIncidents[Company]="SGS (Laboratory)")*tblIncidents[Recordable])</f>
        <v/>
      </c>
      <c r="F10" s="30">
        <f>SUMPRODUCT((tblIncidents[Company]="SGS (Laboratory)")*tblIncidents[LTI])</f>
        <v/>
      </c>
      <c r="G10" s="64">
        <f>IF([@ManHours]=0,0,[@Recordables]/[@ManHours]*RATE_BASE)</f>
        <v/>
      </c>
      <c r="H10" s="64">
        <f>IF([@ManHours]=0,0,[@LTIs]/[@ManHours]*RATE_BASE)</f>
        <v/>
      </c>
      <c r="I10" s="64">
        <f>TARGET_TRIFR</f>
        <v/>
      </c>
    </row>
    <row r="11">
      <c r="B11" s="28" t="inlineStr">
        <is>
          <t>Genser (Power)</t>
        </is>
      </c>
      <c r="C11" s="28" t="inlineStr">
        <is>
          <t>Power generation &amp; distribution</t>
        </is>
      </c>
      <c r="D11" s="63">
        <f>SUMPRODUCT((tblActivity[Company]="Genser (Power)")*tblActivity[ManHours])</f>
        <v/>
      </c>
      <c r="E11" s="30">
        <f>SUMPRODUCT((tblIncidents[Company]="Genser (Power)")*tblIncidents[Recordable])</f>
        <v/>
      </c>
      <c r="F11" s="30">
        <f>SUMPRODUCT((tblIncidents[Company]="Genser (Power)")*tblIncidents[LTI])</f>
        <v/>
      </c>
      <c r="G11" s="64">
        <f>IF([@ManHours]=0,0,[@Recordables]/[@ManHours]*RATE_BASE)</f>
        <v/>
      </c>
      <c r="H11" s="64">
        <f>IF([@ManHours]=0,0,[@LTIs]/[@ManHours]*RATE_BASE)</f>
        <v/>
      </c>
      <c r="I11" s="64">
        <f>TARGET_TRIFR</f>
        <v/>
      </c>
    </row>
    <row r="12">
      <c r="B12" s="28" t="inlineStr">
        <is>
          <t>Catering Co (Camp)</t>
        </is>
      </c>
      <c r="C12" s="28" t="inlineStr">
        <is>
          <t>Catering &amp; camp services</t>
        </is>
      </c>
      <c r="D12" s="63">
        <f>SUMPRODUCT((tblActivity[Company]="Catering Co (Camp)")*tblActivity[ManHours])</f>
        <v/>
      </c>
      <c r="E12" s="30">
        <f>SUMPRODUCT((tblIncidents[Company]="Catering Co (Camp)")*tblIncidents[Recordable])</f>
        <v/>
      </c>
      <c r="F12" s="30">
        <f>SUMPRODUCT((tblIncidents[Company]="Catering Co (Camp)")*tblIncidents[LTI])</f>
        <v/>
      </c>
      <c r="G12" s="64">
        <f>IF([@ManHours]=0,0,[@Recordables]/[@ManHours]*RATE_BASE)</f>
        <v/>
      </c>
      <c r="H12" s="64">
        <f>IF([@ManHours]=0,0,[@LTIs]/[@ManHours]*RATE_BASE)</f>
        <v/>
      </c>
      <c r="I12" s="64">
        <f>TARGET_TRIFR</f>
        <v/>
      </c>
    </row>
    <row r="13">
      <c r="B13" s="28" t="inlineStr">
        <is>
          <t>G4S (Security)</t>
        </is>
      </c>
      <c r="C13" s="28" t="inlineStr">
        <is>
          <t>Site security &amp; access control</t>
        </is>
      </c>
      <c r="D13" s="63">
        <f>SUMPRODUCT((tblActivity[Company]="G4S (Security)")*tblActivity[ManHours])</f>
        <v/>
      </c>
      <c r="E13" s="30">
        <f>SUMPRODUCT((tblIncidents[Company]="G4S (Security)")*tblIncidents[Recordable])</f>
        <v/>
      </c>
      <c r="F13" s="30">
        <f>SUMPRODUCT((tblIncidents[Company]="G4S (Security)")*tblIncidents[LTI])</f>
        <v/>
      </c>
      <c r="G13" s="64">
        <f>IF([@ManHours]=0,0,[@Recordables]/[@ManHours]*RATE_BASE)</f>
        <v/>
      </c>
      <c r="H13" s="64">
        <f>IF([@ManHours]=0,0,[@LTIs]/[@ManHours]*RATE_BASE)</f>
        <v/>
      </c>
      <c r="I13" s="64">
        <f>TARGET_TRIFR</f>
        <v/>
      </c>
    </row>
  </sheetData>
  <mergeCells count="3">
    <mergeCell ref="A1:I2"/>
    <mergeCell ref="B5:I5"/>
    <mergeCell ref="A3:I3"/>
  </mergeCells>
  <conditionalFormatting sqref="G7:G13">
    <cfRule type="expression" priority="1" dxfId="3">
      <formula>$G7&gt;TARGET_TRIFR</formula>
    </cfRule>
    <cfRule type="expression" priority="2" dxfId="6">
      <formula>$G7&lt;=TARGET_TRIFR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17" customWidth="1" min="3" max="3"/>
    <col width="14" customWidth="1" min="4" max="4"/>
    <col width="18" customWidth="1" min="5" max="5"/>
    <col width="19" customWidth="1" min="6" max="6"/>
    <col width="22" customWidth="1" min="7" max="7"/>
    <col width="14" customWidth="1" min="8" max="8"/>
  </cols>
  <sheetData>
    <row r="1" ht="16" customHeight="1">
      <c r="A1" s="1" t="inlineStr">
        <is>
          <t>ASANKO GOLD MINE   |   Permit-to-Work Register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18" customHeight="1">
      <c r="A3" s="3" t="inlineStr">
        <is>
          <t>Health, Safety &amp; Environment Management System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5">
      <c r="B5" s="5" t="inlineStr">
        <is>
          <t>PERMIT-TO-WORK REGISTER</t>
        </is>
      </c>
      <c r="C5" s="6" t="n"/>
      <c r="D5" s="6" t="n"/>
      <c r="E5" s="6" t="n"/>
      <c r="F5" s="6" t="n"/>
      <c r="G5" s="6" t="n"/>
      <c r="H5" s="6" t="n"/>
      <c r="I5" s="6" t="n"/>
    </row>
    <row r="6" ht="28" customHeight="1">
      <c r="B6" s="27" t="inlineStr">
        <is>
          <t>Permit</t>
        </is>
      </c>
      <c r="C6" s="27" t="inlineStr">
        <is>
          <t>Authority</t>
        </is>
      </c>
      <c r="D6" s="27" t="inlineStr">
        <is>
          <t>Holder</t>
        </is>
      </c>
      <c r="E6" s="27" t="inlineStr">
        <is>
          <t>Issue_Date</t>
        </is>
      </c>
      <c r="F6" s="27" t="inlineStr">
        <is>
          <t>Expiry_Date</t>
        </is>
      </c>
      <c r="G6" s="27" t="inlineStr">
        <is>
          <t>Days_To_Expiry</t>
        </is>
      </c>
      <c r="H6" s="27" t="inlineStr">
        <is>
          <t>Status</t>
        </is>
      </c>
    </row>
    <row r="7">
      <c r="B7" s="28" t="inlineStr">
        <is>
          <t>Hot Work Permit - Plant</t>
        </is>
      </c>
      <c r="C7" s="28" t="inlineStr">
        <is>
          <t>HSE Dept</t>
        </is>
      </c>
      <c r="D7" s="28" t="inlineStr">
        <is>
          <t>M. Quaye</t>
        </is>
      </c>
      <c r="E7" s="29" t="n">
        <v>45760</v>
      </c>
      <c r="F7" s="29" t="n">
        <v>46218</v>
      </c>
      <c r="G7" s="30">
        <f>[@Expiry_Date]-TODAY()</f>
        <v/>
      </c>
      <c r="H7" s="28">
        <f>IF([@Expiry_Date]&lt;TODAY(),"Expired",IF([@Expiry_Date]-TODAY()&lt;=60,"Expiring","Active"))</f>
        <v/>
      </c>
    </row>
    <row r="8">
      <c r="B8" s="28" t="inlineStr">
        <is>
          <t>Confined Space - Elution</t>
        </is>
      </c>
      <c r="C8" s="28" t="inlineStr">
        <is>
          <t>HSE Dept</t>
        </is>
      </c>
      <c r="D8" s="28" t="inlineStr">
        <is>
          <t>M. Quaye</t>
        </is>
      </c>
      <c r="E8" s="29" t="n">
        <v>46040</v>
      </c>
      <c r="F8" s="29" t="n">
        <v>46293</v>
      </c>
      <c r="G8" s="30">
        <f>[@Expiry_Date]-TODAY()</f>
        <v/>
      </c>
      <c r="H8" s="28">
        <f>IF([@Expiry_Date]&lt;TODAY(),"Expired",IF([@Expiry_Date]-TODAY()&lt;=60,"Expiring","Active"))</f>
        <v/>
      </c>
    </row>
    <row r="9">
      <c r="B9" s="28" t="inlineStr">
        <is>
          <t>Working at Height - Crusher</t>
        </is>
      </c>
      <c r="C9" s="28" t="inlineStr">
        <is>
          <t>HSE Dept</t>
        </is>
      </c>
      <c r="D9" s="28" t="inlineStr">
        <is>
          <t>A. Owusu</t>
        </is>
      </c>
      <c r="E9" s="29" t="n">
        <v>45978</v>
      </c>
      <c r="F9" s="29" t="n">
        <v>46163</v>
      </c>
      <c r="G9" s="30">
        <f>[@Expiry_Date]-TODAY()</f>
        <v/>
      </c>
      <c r="H9" s="28">
        <f>IF([@Expiry_Date]&lt;TODAY(),"Expired",IF([@Expiry_Date]-TODAY()&lt;=60,"Expiring","Active"))</f>
        <v/>
      </c>
    </row>
    <row r="10">
      <c r="B10" s="28" t="inlineStr">
        <is>
          <t>Excavation Permit - Esaase</t>
        </is>
      </c>
      <c r="C10" s="28" t="inlineStr">
        <is>
          <t>HSE Dept</t>
        </is>
      </c>
      <c r="D10" s="28" t="inlineStr">
        <is>
          <t>S. Addo</t>
        </is>
      </c>
      <c r="E10" s="29" t="n">
        <v>45753</v>
      </c>
      <c r="F10" s="29" t="n">
        <v>46373</v>
      </c>
      <c r="G10" s="30">
        <f>[@Expiry_Date]-TODAY()</f>
        <v/>
      </c>
      <c r="H10" s="28">
        <f>IF([@Expiry_Date]&lt;TODAY(),"Expired",IF([@Expiry_Date]-TODAY()&lt;=60,"Expiring","Active"))</f>
        <v/>
      </c>
    </row>
    <row r="11">
      <c r="B11" s="28" t="inlineStr">
        <is>
          <t>Explosives Handling</t>
        </is>
      </c>
      <c r="C11" s="28" t="inlineStr">
        <is>
          <t>Minerals Commission</t>
        </is>
      </c>
      <c r="D11" s="28" t="inlineStr">
        <is>
          <t>E. Asante</t>
        </is>
      </c>
      <c r="E11" s="29" t="n">
        <v>45874</v>
      </c>
      <c r="F11" s="29" t="n">
        <v>46473</v>
      </c>
      <c r="G11" s="30">
        <f>[@Expiry_Date]-TODAY()</f>
        <v/>
      </c>
      <c r="H11" s="28">
        <f>IF([@Expiry_Date]&lt;TODAY(),"Expired",IF([@Expiry_Date]-TODAY()&lt;=60,"Expiring","Active"))</f>
        <v/>
      </c>
    </row>
    <row r="12">
      <c r="B12" s="28" t="inlineStr">
        <is>
          <t>Radiation Source Permit</t>
        </is>
      </c>
      <c r="C12" s="28" t="inlineStr">
        <is>
          <t>Nuclear Reg. Authority</t>
        </is>
      </c>
      <c r="D12" s="28" t="inlineStr">
        <is>
          <t>S. Addo</t>
        </is>
      </c>
      <c r="E12" s="29" t="n">
        <v>45493</v>
      </c>
      <c r="F12" s="29" t="n">
        <v>46203</v>
      </c>
      <c r="G12" s="30">
        <f>[@Expiry_Date]-TODAY()</f>
        <v/>
      </c>
      <c r="H12" s="28">
        <f>IF([@Expiry_Date]&lt;TODAY(),"Expired",IF([@Expiry_Date]-TODAY()&lt;=60,"Expiring","Active"))</f>
        <v/>
      </c>
    </row>
    <row r="13">
      <c r="B13" s="28" t="inlineStr">
        <is>
          <t>Electrical Isolation - HV</t>
        </is>
      </c>
      <c r="C13" s="28" t="inlineStr">
        <is>
          <t>Engineering</t>
        </is>
      </c>
      <c r="D13" s="28" t="inlineStr">
        <is>
          <t>D. Tetteh</t>
        </is>
      </c>
      <c r="E13" s="29" t="n">
        <v>45780</v>
      </c>
      <c r="F13" s="29" t="n">
        <v>46263</v>
      </c>
      <c r="G13" s="30">
        <f>[@Expiry_Date]-TODAY()</f>
        <v/>
      </c>
      <c r="H13" s="28">
        <f>IF([@Expiry_Date]&lt;TODAY(),"Expired",IF([@Expiry_Date]-TODAY()&lt;=60,"Expiring","Active"))</f>
        <v/>
      </c>
    </row>
    <row r="14">
      <c r="B14" s="28" t="inlineStr">
        <is>
          <t>Lifting Operations Permit</t>
        </is>
      </c>
      <c r="C14" s="28" t="inlineStr">
        <is>
          <t>Engineering</t>
        </is>
      </c>
      <c r="D14" s="28" t="inlineStr">
        <is>
          <t>S. Addo</t>
        </is>
      </c>
      <c r="E14" s="29" t="n">
        <v>46005</v>
      </c>
      <c r="F14" s="29" t="n">
        <v>46323</v>
      </c>
      <c r="G14" s="30">
        <f>[@Expiry_Date]-TODAY()</f>
        <v/>
      </c>
      <c r="H14" s="28">
        <f>IF([@Expiry_Date]&lt;TODAY(),"Expired",IF([@Expiry_Date]-TODAY()&lt;=60,"Expiring","Active"))</f>
        <v/>
      </c>
    </row>
  </sheetData>
  <mergeCells count="3">
    <mergeCell ref="A1:I2"/>
    <mergeCell ref="B5:I5"/>
    <mergeCell ref="A3:I3"/>
  </mergeCells>
  <conditionalFormatting sqref="H7:H500">
    <cfRule type="cellIs" priority="1" operator="equal" dxfId="6">
      <formula>"Active"</formula>
    </cfRule>
    <cfRule type="cellIs" priority="2" operator="equal" dxfId="4">
      <formula>"Expiring"</formula>
    </cfRule>
    <cfRule type="cellIs" priority="3" operator="equal" dxfId="3">
      <formula>"Expired"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13" customWidth="1" min="2" max="2"/>
    <col width="12" customWidth="1" min="3" max="3"/>
    <col width="12" customWidth="1" min="4" max="4"/>
    <col width="15" customWidth="1" min="5" max="5"/>
    <col width="13" customWidth="1" min="6" max="6"/>
    <col width="16" customWidth="1" min="7" max="7"/>
    <col width="23" customWidth="1" min="8" max="8"/>
    <col width="14" customWidth="1" min="9" max="9"/>
  </cols>
  <sheetData>
    <row r="1" ht="16" customHeight="1">
      <c r="A1" s="1" t="inlineStr">
        <is>
          <t>ASANKO GOLD MINE   |   Audit Register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8" customHeight="1">
      <c r="A3" s="3" t="inlineStr">
        <is>
          <t>Health, Safety &amp; Environment Management System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B5" s="5" t="inlineStr">
        <is>
          <t>AUDIT REGISTER</t>
        </is>
      </c>
      <c r="C5" s="6" t="n"/>
      <c r="D5" s="6" t="n"/>
      <c r="E5" s="6" t="n"/>
      <c r="F5" s="6" t="n"/>
      <c r="G5" s="6" t="n"/>
      <c r="H5" s="6" t="n"/>
      <c r="I5" s="6" t="n"/>
      <c r="J5" s="6" t="n"/>
    </row>
    <row r="6" ht="28" customHeight="1">
      <c r="B6" s="27" t="inlineStr">
        <is>
          <t>Audit</t>
        </is>
      </c>
      <c r="C6" s="27" t="inlineStr">
        <is>
          <t>Type</t>
        </is>
      </c>
      <c r="D6" s="27" t="inlineStr">
        <is>
          <t>Date</t>
        </is>
      </c>
      <c r="E6" s="27" t="inlineStr">
        <is>
          <t>Auditor</t>
        </is>
      </c>
      <c r="F6" s="27" t="inlineStr">
        <is>
          <t>Score</t>
        </is>
      </c>
      <c r="G6" s="27" t="inlineStr">
        <is>
          <t>Findings</t>
        </is>
      </c>
      <c r="H6" s="27" t="inlineStr">
        <is>
          <t>Closed_Findings</t>
        </is>
      </c>
      <c r="I6" s="27" t="inlineStr">
        <is>
          <t>Status</t>
        </is>
      </c>
    </row>
    <row r="7">
      <c r="B7" s="28" t="inlineStr">
        <is>
          <t>ICMC Cyanide Code Audit</t>
        </is>
      </c>
      <c r="C7" s="28" t="inlineStr">
        <is>
          <t>External</t>
        </is>
      </c>
      <c r="D7" s="29" t="n">
        <v>45861</v>
      </c>
      <c r="E7" s="28" t="inlineStr">
        <is>
          <t>K. Mensah</t>
        </is>
      </c>
      <c r="F7" s="37" t="n">
        <v>0.901</v>
      </c>
      <c r="G7" s="31" t="n">
        <v>8</v>
      </c>
      <c r="H7" s="31" t="n">
        <v>8</v>
      </c>
      <c r="I7" s="28">
        <f>IF([@Closed_Findings]&gt;=[@Findings],"Closed","Open")</f>
        <v/>
      </c>
    </row>
    <row r="8">
      <c r="B8" s="28" t="inlineStr">
        <is>
          <t>ISO 45001 Surveillance</t>
        </is>
      </c>
      <c r="C8" s="28" t="inlineStr">
        <is>
          <t>External</t>
        </is>
      </c>
      <c r="D8" s="29" t="n">
        <v>46109</v>
      </c>
      <c r="E8" s="28" t="inlineStr">
        <is>
          <t>S. Addo</t>
        </is>
      </c>
      <c r="F8" s="37" t="n">
        <v>0.826</v>
      </c>
      <c r="G8" s="31" t="n">
        <v>6</v>
      </c>
      <c r="H8" s="31" t="n">
        <v>1</v>
      </c>
      <c r="I8" s="28">
        <f>IF([@Closed_Findings]&gt;=[@Findings],"Closed","Open")</f>
        <v/>
      </c>
    </row>
    <row r="9">
      <c r="B9" s="28" t="inlineStr">
        <is>
          <t>EPA Environmental Audit</t>
        </is>
      </c>
      <c r="C9" s="28" t="inlineStr">
        <is>
          <t>Regulatory</t>
        </is>
      </c>
      <c r="D9" s="29" t="n">
        <v>45979</v>
      </c>
      <c r="E9" s="28" t="inlineStr">
        <is>
          <t>J. Boateng</t>
        </is>
      </c>
      <c r="F9" s="37" t="n">
        <v>0.874</v>
      </c>
      <c r="G9" s="31" t="n">
        <v>5</v>
      </c>
      <c r="H9" s="31" t="n">
        <v>2</v>
      </c>
      <c r="I9" s="28">
        <f>IF([@Closed_Findings]&gt;=[@Findings],"Closed","Open")</f>
        <v/>
      </c>
    </row>
    <row r="10">
      <c r="B10" s="28" t="inlineStr">
        <is>
          <t>Internal HSE System Audit</t>
        </is>
      </c>
      <c r="C10" s="28" t="inlineStr">
        <is>
          <t>Internal</t>
        </is>
      </c>
      <c r="D10" s="29" t="n">
        <v>46008</v>
      </c>
      <c r="E10" s="28" t="inlineStr">
        <is>
          <t>P. Annan</t>
        </is>
      </c>
      <c r="F10" s="37" t="n">
        <v>0.916</v>
      </c>
      <c r="G10" s="31" t="n">
        <v>12</v>
      </c>
      <c r="H10" s="31" t="n">
        <v>1</v>
      </c>
      <c r="I10" s="28">
        <f>IF([@Closed_Findings]&gt;=[@Findings],"Closed","Open")</f>
        <v/>
      </c>
    </row>
    <row r="11">
      <c r="B11" s="28" t="inlineStr">
        <is>
          <t>Contractor HSE Audit - AUMS</t>
        </is>
      </c>
      <c r="C11" s="28" t="inlineStr">
        <is>
          <t>Internal</t>
        </is>
      </c>
      <c r="D11" s="29" t="n">
        <v>46029</v>
      </c>
      <c r="E11" s="28" t="inlineStr">
        <is>
          <t>P. Annan</t>
        </is>
      </c>
      <c r="F11" s="37" t="n">
        <v>0.873</v>
      </c>
      <c r="G11" s="31" t="n">
        <v>9</v>
      </c>
      <c r="H11" s="31" t="n">
        <v>2</v>
      </c>
      <c r="I11" s="28">
        <f>IF([@Closed_Findings]&gt;=[@Findings],"Closed","Open")</f>
        <v/>
      </c>
    </row>
    <row r="12">
      <c r="B12" s="28" t="inlineStr">
        <is>
          <t>Tailings Facility Audit</t>
        </is>
      </c>
      <c r="C12" s="28" t="inlineStr">
        <is>
          <t>External</t>
        </is>
      </c>
      <c r="D12" s="29" t="n">
        <v>46162</v>
      </c>
      <c r="E12" s="28" t="inlineStr">
        <is>
          <t>F. Agyeman</t>
        </is>
      </c>
      <c r="F12" s="37" t="n">
        <v>0.791</v>
      </c>
      <c r="G12" s="31" t="n">
        <v>4</v>
      </c>
      <c r="H12" s="31" t="n">
        <v>3</v>
      </c>
      <c r="I12" s="28">
        <f>IF([@Closed_Findings]&gt;=[@Findings],"Closed","Open")</f>
        <v/>
      </c>
    </row>
    <row r="13">
      <c r="B13" s="28" t="inlineStr">
        <is>
          <t>Emergency Preparedness Audit</t>
        </is>
      </c>
      <c r="C13" s="28" t="inlineStr">
        <is>
          <t>Internal</t>
        </is>
      </c>
      <c r="D13" s="29" t="n">
        <v>46104</v>
      </c>
      <c r="E13" s="28" t="inlineStr">
        <is>
          <t>P. Annan</t>
        </is>
      </c>
      <c r="F13" s="37" t="n">
        <v>0.794</v>
      </c>
      <c r="G13" s="31" t="n">
        <v>7</v>
      </c>
      <c r="H13" s="31" t="n">
        <v>4</v>
      </c>
      <c r="I13" s="28">
        <f>IF([@Closed_Findings]&gt;=[@Findings],"Closed","Open")</f>
        <v/>
      </c>
    </row>
    <row r="14">
      <c r="B14" s="28" t="inlineStr">
        <is>
          <t>Explosives Magazine Audit</t>
        </is>
      </c>
      <c r="C14" s="28" t="inlineStr">
        <is>
          <t>Regulatory</t>
        </is>
      </c>
      <c r="D14" s="29" t="n">
        <v>45845</v>
      </c>
      <c r="E14" s="28" t="inlineStr">
        <is>
          <t>J. Boateng</t>
        </is>
      </c>
      <c r="F14" s="37" t="n">
        <v>0.948</v>
      </c>
      <c r="G14" s="31" t="n">
        <v>3</v>
      </c>
      <c r="H14" s="31" t="n">
        <v>0</v>
      </c>
      <c r="I14" s="28">
        <f>IF([@Closed_Findings]&gt;=[@Findings],"Closed","Open")</f>
        <v/>
      </c>
    </row>
  </sheetData>
  <mergeCells count="3">
    <mergeCell ref="A1:J2"/>
    <mergeCell ref="B5:J5"/>
    <mergeCell ref="A3:J3"/>
  </mergeCells>
  <conditionalFormatting sqref="I7:I500">
    <cfRule type="cellIs" priority="1" operator="equal" dxfId="6">
      <formula>"Closed"</formula>
    </cfRule>
    <cfRule type="cellIs" priority="2" operator="equal" dxfId="4">
      <formula>"Open"</formula>
    </cfRule>
  </conditionalFormatting>
  <conditionalFormatting sqref="F7:F500">
    <cfRule type="colorScale" priority="3">
      <colorScale>
        <cfvo type="num" val="0.7"/>
        <cfvo type="num" val="0.85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6" customWidth="1" min="4" max="4"/>
    <col width="20" customWidth="1" min="5" max="5"/>
    <col width="20" customWidth="1" min="6" max="6"/>
    <col width="21" customWidth="1" min="7" max="7"/>
    <col width="16" customWidth="1" min="8" max="8"/>
    <col width="14" customWidth="1" min="9" max="9"/>
  </cols>
  <sheetData>
    <row r="1" ht="16" customHeight="1">
      <c r="A1" s="1" t="inlineStr">
        <is>
          <t>ASANKO GOLD MINE   |   Emergency Drills Register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8" customHeight="1">
      <c r="A3" s="3" t="inlineStr">
        <is>
          <t>Health, Safety &amp; Environment Management System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B5" s="5" t="inlineStr">
        <is>
          <t>EMERGENCY DRILLS REGISTER</t>
        </is>
      </c>
      <c r="C5" s="6" t="n"/>
      <c r="D5" s="6" t="n"/>
      <c r="E5" s="6" t="n"/>
      <c r="F5" s="6" t="n"/>
      <c r="G5" s="6" t="n"/>
      <c r="H5" s="6" t="n"/>
      <c r="I5" s="6" t="n"/>
      <c r="J5" s="6" t="n"/>
    </row>
    <row r="6" ht="28" customHeight="1">
      <c r="B6" s="27" t="inlineStr">
        <is>
          <t>Scenario</t>
        </is>
      </c>
      <c r="C6" s="27" t="inlineStr">
        <is>
          <t>Date</t>
        </is>
      </c>
      <c r="D6" s="27" t="inlineStr">
        <is>
          <t>Location</t>
        </is>
      </c>
      <c r="E6" s="27" t="inlineStr">
        <is>
          <t>Participants</t>
        </is>
      </c>
      <c r="F6" s="27" t="inlineStr">
        <is>
          <t>Duration_min</t>
        </is>
      </c>
      <c r="G6" s="27" t="inlineStr">
        <is>
          <t>Effectiveness</t>
        </is>
      </c>
      <c r="H6" s="27" t="inlineStr">
        <is>
          <t>Next_Due</t>
        </is>
      </c>
      <c r="I6" s="27" t="inlineStr">
        <is>
          <t>Status</t>
        </is>
      </c>
    </row>
    <row r="7">
      <c r="B7" s="28" t="inlineStr">
        <is>
          <t>Cyanide Spill Response</t>
        </is>
      </c>
      <c r="C7" s="29" t="n">
        <v>45978</v>
      </c>
      <c r="D7" s="28" t="inlineStr">
        <is>
          <t>Accommodation Camp</t>
        </is>
      </c>
      <c r="E7" s="31" t="n">
        <v>114</v>
      </c>
      <c r="F7" s="31" t="n">
        <v>80</v>
      </c>
      <c r="G7" s="37" t="n">
        <v>0.765</v>
      </c>
      <c r="H7" s="32">
        <f>EDATE([@Date],6)</f>
        <v/>
      </c>
      <c r="I7" s="28">
        <f>IF([@Next_Due]&lt;TODAY(),"Overdue",IF([@Next_Due]-TODAY()&lt;=60,"Due Soon","Current"))</f>
        <v/>
      </c>
    </row>
    <row r="8">
      <c r="B8" s="28" t="inlineStr">
        <is>
          <t>Pit Fire Evacuation</t>
        </is>
      </c>
      <c r="C8" s="29" t="n">
        <v>45973</v>
      </c>
      <c r="D8" s="28" t="inlineStr">
        <is>
          <t>Processing Plant (CIL)</t>
        </is>
      </c>
      <c r="E8" s="31" t="n">
        <v>15</v>
      </c>
      <c r="F8" s="31" t="n">
        <v>148</v>
      </c>
      <c r="G8" s="37" t="n">
        <v>0.853</v>
      </c>
      <c r="H8" s="32">
        <f>EDATE([@Date],6)</f>
        <v/>
      </c>
      <c r="I8" s="28">
        <f>IF([@Next_Due]&lt;TODAY(),"Overdue",IF([@Next_Due]-TODAY()&lt;=60,"Due Soon","Current"))</f>
        <v/>
      </c>
    </row>
    <row r="9">
      <c r="B9" s="28" t="inlineStr">
        <is>
          <t>Medical Emergency (Mass Casualty)</t>
        </is>
      </c>
      <c r="C9" s="29" t="n">
        <v>45832</v>
      </c>
      <c r="D9" s="28" t="inlineStr">
        <is>
          <t>Water Treatment</t>
        </is>
      </c>
      <c r="E9" s="31" t="n">
        <v>87</v>
      </c>
      <c r="F9" s="31" t="n">
        <v>34</v>
      </c>
      <c r="G9" s="37" t="n">
        <v>0.917</v>
      </c>
      <c r="H9" s="32">
        <f>EDATE([@Date],6)</f>
        <v/>
      </c>
      <c r="I9" s="28">
        <f>IF([@Next_Due]&lt;TODAY(),"Overdue",IF([@Next_Due]-TODAY()&lt;=60,"Due Soon","Current"))</f>
        <v/>
      </c>
    </row>
    <row r="10">
      <c r="B10" s="28" t="inlineStr">
        <is>
          <t>Tailings Dam Breach</t>
        </is>
      </c>
      <c r="C10" s="29" t="n">
        <v>45842</v>
      </c>
      <c r="D10" s="28" t="inlineStr">
        <is>
          <t>Esaase Open Pit</t>
        </is>
      </c>
      <c r="E10" s="31" t="n">
        <v>38</v>
      </c>
      <c r="F10" s="31" t="n">
        <v>35</v>
      </c>
      <c r="G10" s="37" t="n">
        <v>0.757</v>
      </c>
      <c r="H10" s="32">
        <f>EDATE([@Date],6)</f>
        <v/>
      </c>
      <c r="I10" s="28">
        <f>IF([@Next_Due]&lt;TODAY(),"Overdue",IF([@Next_Due]-TODAY()&lt;=60,"Due Soon","Current"))</f>
        <v/>
      </c>
    </row>
    <row r="11">
      <c r="B11" s="28" t="inlineStr">
        <is>
          <t>Fuel Farm Fire</t>
        </is>
      </c>
      <c r="C11" s="29" t="n">
        <v>45977</v>
      </c>
      <c r="D11" s="28" t="inlineStr">
        <is>
          <t>Tailings Storage Facility</t>
        </is>
      </c>
      <c r="E11" s="31" t="n">
        <v>87</v>
      </c>
      <c r="F11" s="31" t="n">
        <v>137</v>
      </c>
      <c r="G11" s="37" t="n">
        <v>0.901</v>
      </c>
      <c r="H11" s="32">
        <f>EDATE([@Date],6)</f>
        <v/>
      </c>
      <c r="I11" s="28">
        <f>IF([@Next_Due]&lt;TODAY(),"Overdue",IF([@Next_Due]-TODAY()&lt;=60,"Due Soon","Current"))</f>
        <v/>
      </c>
    </row>
    <row r="12">
      <c r="B12" s="28" t="inlineStr">
        <is>
          <t>Confined Space Rescue</t>
        </is>
      </c>
      <c r="C12" s="29" t="n">
        <v>46062</v>
      </c>
      <c r="D12" s="28" t="inlineStr">
        <is>
          <t>Haul Roads</t>
        </is>
      </c>
      <c r="E12" s="31" t="n">
        <v>26</v>
      </c>
      <c r="F12" s="31" t="n">
        <v>74</v>
      </c>
      <c r="G12" s="37" t="n">
        <v>0.898</v>
      </c>
      <c r="H12" s="32">
        <f>EDATE([@Date],6)</f>
        <v/>
      </c>
      <c r="I12" s="28">
        <f>IF([@Next_Due]&lt;TODAY(),"Overdue",IF([@Next_Due]-TODAY()&lt;=60,"Due Soon","Current"))</f>
        <v/>
      </c>
    </row>
    <row r="13">
      <c r="B13" s="28" t="inlineStr">
        <is>
          <t>Hazmat Transport Incident</t>
        </is>
      </c>
      <c r="C13" s="29" t="n">
        <v>45867</v>
      </c>
      <c r="D13" s="28" t="inlineStr">
        <is>
          <t>Water Treatment</t>
        </is>
      </c>
      <c r="E13" s="31" t="n">
        <v>57</v>
      </c>
      <c r="F13" s="31" t="n">
        <v>50</v>
      </c>
      <c r="G13" s="37" t="n">
        <v>0.791</v>
      </c>
      <c r="H13" s="32">
        <f>EDATE([@Date],6)</f>
        <v/>
      </c>
      <c r="I13" s="28">
        <f>IF([@Next_Due]&lt;TODAY(),"Overdue",IF([@Next_Due]-TODAY()&lt;=60,"Due Soon","Current"))</f>
        <v/>
      </c>
    </row>
    <row r="14">
      <c r="B14" s="28" t="inlineStr">
        <is>
          <t>Security Lockdown</t>
        </is>
      </c>
      <c r="C14" s="29" t="n">
        <v>45896</v>
      </c>
      <c r="D14" s="28" t="inlineStr">
        <is>
          <t>HME Workshop</t>
        </is>
      </c>
      <c r="E14" s="31" t="n">
        <v>112</v>
      </c>
      <c r="F14" s="31" t="n">
        <v>146</v>
      </c>
      <c r="G14" s="37" t="n">
        <v>0.865</v>
      </c>
      <c r="H14" s="32">
        <f>EDATE([@Date],6)</f>
        <v/>
      </c>
      <c r="I14" s="28">
        <f>IF([@Next_Due]&lt;TODAY(),"Overdue",IF([@Next_Due]-TODAY()&lt;=60,"Due Soon","Current"))</f>
        <v/>
      </c>
    </row>
    <row r="15">
      <c r="B15" s="28" t="inlineStr">
        <is>
          <t>Mine Rescue Exercise</t>
        </is>
      </c>
      <c r="C15" s="29" t="n">
        <v>46115</v>
      </c>
      <c r="D15" s="28" t="inlineStr">
        <is>
          <t>Nkran Open Pit</t>
        </is>
      </c>
      <c r="E15" s="31" t="n">
        <v>72</v>
      </c>
      <c r="F15" s="31" t="n">
        <v>114</v>
      </c>
      <c r="G15" s="37" t="n">
        <v>0.75</v>
      </c>
      <c r="H15" s="32">
        <f>EDATE([@Date],6)</f>
        <v/>
      </c>
      <c r="I15" s="28">
        <f>IF([@Next_Due]&lt;TODAY(),"Overdue",IF([@Next_Due]-TODAY()&lt;=60,"Due Soon","Current"))</f>
        <v/>
      </c>
    </row>
  </sheetData>
  <mergeCells count="3">
    <mergeCell ref="A1:J2"/>
    <mergeCell ref="B5:J5"/>
    <mergeCell ref="A3:J3"/>
  </mergeCells>
  <conditionalFormatting sqref="I7:I500">
    <cfRule type="cellIs" priority="1" operator="equal" dxfId="6">
      <formula>"Current"</formula>
    </cfRule>
    <cfRule type="cellIs" priority="2" operator="equal" dxfId="4">
      <formula>"Due Soon"</formula>
    </cfRule>
    <cfRule type="cellIs" priority="3" operator="equal" dxfId="3">
      <formula>"Overdue"</formula>
    </cfRule>
  </conditionalFormatting>
  <conditionalFormatting sqref="G7:G500">
    <cfRule type="colorScale" priority="4">
      <colorScale>
        <cfvo type="num" val="0.7"/>
        <cfvo type="num" val="0.85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14" customWidth="1" min="4" max="4"/>
    <col width="16" customWidth="1" min="5" max="5"/>
    <col width="18" customWidth="1" min="6" max="6"/>
    <col width="23" customWidth="1" min="7" max="7"/>
    <col width="14" customWidth="1" min="8" max="8"/>
  </cols>
  <sheetData>
    <row r="1" ht="16" customHeight="1">
      <c r="A1" s="1" t="inlineStr">
        <is>
          <t>ASANKO GOLD MINE   |   PPE Compliance Register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18" customHeight="1">
      <c r="A3" s="3" t="inlineStr">
        <is>
          <t>Health, Safety &amp; Environment Management System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5">
      <c r="B5" s="5" t="inlineStr">
        <is>
          <t>PPE COMPLIANCE REGISTER</t>
        </is>
      </c>
      <c r="C5" s="6" t="n"/>
      <c r="D5" s="6" t="n"/>
      <c r="E5" s="6" t="n"/>
      <c r="F5" s="6" t="n"/>
      <c r="G5" s="6" t="n"/>
      <c r="H5" s="6" t="n"/>
      <c r="I5" s="6" t="n"/>
    </row>
    <row r="6" ht="28" customHeight="1">
      <c r="B6" s="27" t="inlineStr">
        <is>
          <t>Category</t>
        </is>
      </c>
      <c r="C6" s="27" t="inlineStr">
        <is>
          <t>Department</t>
        </is>
      </c>
      <c r="D6" s="27" t="inlineStr">
        <is>
          <t>Issued</t>
        </is>
      </c>
      <c r="E6" s="27" t="inlineStr">
        <is>
          <t>Required</t>
        </is>
      </c>
      <c r="F6" s="27" t="inlineStr">
        <is>
          <t>Compliance</t>
        </is>
      </c>
      <c r="G6" s="27" t="inlineStr">
        <is>
          <t>Last_Inspection</t>
        </is>
      </c>
      <c r="H6" s="27" t="inlineStr">
        <is>
          <t>Status</t>
        </is>
      </c>
    </row>
    <row r="7">
      <c r="B7" s="28" t="inlineStr">
        <is>
          <t>Hard Hats</t>
        </is>
      </c>
      <c r="C7" s="28" t="inlineStr">
        <is>
          <t>Mining</t>
        </is>
      </c>
      <c r="D7" s="31" t="n">
        <v>280</v>
      </c>
      <c r="E7" s="31" t="n">
        <v>285</v>
      </c>
      <c r="F7" s="38">
        <f>IFERROR([@Issued]/[@Required],0)</f>
        <v/>
      </c>
      <c r="G7" s="29" t="n">
        <v>46126</v>
      </c>
      <c r="H7" s="28">
        <f>IF([@Compliance]&gt;=0.95,"Compliant",IF([@Compliance]&gt;=0.85,"Monitor","Action"))</f>
        <v/>
      </c>
    </row>
    <row r="8">
      <c r="B8" s="28" t="inlineStr">
        <is>
          <t>Safety Boots</t>
        </is>
      </c>
      <c r="C8" s="28" t="inlineStr">
        <is>
          <t>Mining</t>
        </is>
      </c>
      <c r="D8" s="31" t="n">
        <v>270</v>
      </c>
      <c r="E8" s="31" t="n">
        <v>285</v>
      </c>
      <c r="F8" s="38">
        <f>IFERROR([@Issued]/[@Required],0)</f>
        <v/>
      </c>
      <c r="G8" s="29" t="n">
        <v>46095</v>
      </c>
      <c r="H8" s="28">
        <f>IF([@Compliance]&gt;=0.95,"Compliant",IF([@Compliance]&gt;=0.85,"Monitor","Action"))</f>
        <v/>
      </c>
    </row>
    <row r="9">
      <c r="B9" s="28" t="inlineStr">
        <is>
          <t>Hearing Protection</t>
        </is>
      </c>
      <c r="C9" s="28" t="inlineStr">
        <is>
          <t>Processing</t>
        </is>
      </c>
      <c r="D9" s="31" t="n">
        <v>130</v>
      </c>
      <c r="E9" s="31" t="n">
        <v>140</v>
      </c>
      <c r="F9" s="38">
        <f>IFERROR([@Issued]/[@Required],0)</f>
        <v/>
      </c>
      <c r="G9" s="29" t="n">
        <v>46160</v>
      </c>
      <c r="H9" s="28">
        <f>IF([@Compliance]&gt;=0.95,"Compliant",IF([@Compliance]&gt;=0.85,"Monitor","Action"))</f>
        <v/>
      </c>
    </row>
    <row r="10">
      <c r="B10" s="28" t="inlineStr">
        <is>
          <t>Respirators (Cyanide)</t>
        </is>
      </c>
      <c r="C10" s="28" t="inlineStr">
        <is>
          <t>Processing</t>
        </is>
      </c>
      <c r="D10" s="31" t="n">
        <v>95</v>
      </c>
      <c r="E10" s="31" t="n">
        <v>100</v>
      </c>
      <c r="F10" s="38">
        <f>IFERROR([@Issued]/[@Required],0)</f>
        <v/>
      </c>
      <c r="G10" s="29" t="n">
        <v>46136</v>
      </c>
      <c r="H10" s="28">
        <f>IF([@Compliance]&gt;=0.95,"Compliant",IF([@Compliance]&gt;=0.85,"Monitor","Action"))</f>
        <v/>
      </c>
    </row>
    <row r="11">
      <c r="B11" s="28" t="inlineStr">
        <is>
          <t>Cut-resistant Gloves</t>
        </is>
      </c>
      <c r="C11" s="28" t="inlineStr">
        <is>
          <t>Engineering</t>
        </is>
      </c>
      <c r="D11" s="31" t="n">
        <v>110</v>
      </c>
      <c r="E11" s="31" t="n">
        <v>130</v>
      </c>
      <c r="F11" s="38">
        <f>IFERROR([@Issued]/[@Required],0)</f>
        <v/>
      </c>
      <c r="G11" s="29" t="n">
        <v>46088</v>
      </c>
      <c r="H11" s="28">
        <f>IF([@Compliance]&gt;=0.95,"Compliant",IF([@Compliance]&gt;=0.85,"Monitor","Action"))</f>
        <v/>
      </c>
    </row>
    <row r="12">
      <c r="B12" s="28" t="inlineStr">
        <is>
          <t>Hi-Vis Clothing</t>
        </is>
      </c>
      <c r="C12" s="28" t="inlineStr">
        <is>
          <t>Mining</t>
        </is>
      </c>
      <c r="D12" s="31" t="n">
        <v>285</v>
      </c>
      <c r="E12" s="31" t="n">
        <v>285</v>
      </c>
      <c r="F12" s="38">
        <f>IFERROR([@Issued]/[@Required],0)</f>
        <v/>
      </c>
      <c r="G12" s="29" t="n">
        <v>46152</v>
      </c>
      <c r="H12" s="28">
        <f>IF([@Compliance]&gt;=0.95,"Compliant",IF([@Compliance]&gt;=0.85,"Monitor","Action"))</f>
        <v/>
      </c>
    </row>
    <row r="13">
      <c r="B13" s="28" t="inlineStr">
        <is>
          <t>Fall Arrest Harness</t>
        </is>
      </c>
      <c r="C13" s="28" t="inlineStr">
        <is>
          <t>Engineering</t>
        </is>
      </c>
      <c r="D13" s="31" t="n">
        <v>42</v>
      </c>
      <c r="E13" s="31" t="n">
        <v>50</v>
      </c>
      <c r="F13" s="38">
        <f>IFERROR([@Issued]/[@Required],0)</f>
        <v/>
      </c>
      <c r="G13" s="29" t="n">
        <v>46142</v>
      </c>
      <c r="H13" s="28">
        <f>IF([@Compliance]&gt;=0.95,"Compliant",IF([@Compliance]&gt;=0.85,"Monitor","Action"))</f>
        <v/>
      </c>
    </row>
    <row r="14">
      <c r="B14" s="28" t="inlineStr">
        <is>
          <t>Chemical Suits</t>
        </is>
      </c>
      <c r="C14" s="28" t="inlineStr">
        <is>
          <t>Laboratory</t>
        </is>
      </c>
      <c r="D14" s="31" t="n">
        <v>38</v>
      </c>
      <c r="E14" s="31" t="n">
        <v>40</v>
      </c>
      <c r="F14" s="38">
        <f>IFERROR([@Issued]/[@Required],0)</f>
        <v/>
      </c>
      <c r="G14" s="29" t="n">
        <v>46129</v>
      </c>
      <c r="H14" s="28">
        <f>IF([@Compliance]&gt;=0.95,"Compliant",IF([@Compliance]&gt;=0.85,"Monitor","Action"))</f>
        <v/>
      </c>
    </row>
    <row r="15">
      <c r="B15" s="28" t="inlineStr">
        <is>
          <t>Eye Protection</t>
        </is>
      </c>
      <c r="C15" s="28" t="inlineStr">
        <is>
          <t>All</t>
        </is>
      </c>
      <c r="D15" s="31" t="n">
        <v>520</v>
      </c>
      <c r="E15" s="31" t="n">
        <v>540</v>
      </c>
      <c r="F15" s="38">
        <f>IFERROR([@Issued]/[@Required],0)</f>
        <v/>
      </c>
      <c r="G15" s="29" t="n">
        <v>46110</v>
      </c>
      <c r="H15" s="28">
        <f>IF([@Compliance]&gt;=0.95,"Compliant",IF([@Compliance]&gt;=0.85,"Monitor","Action"))</f>
        <v/>
      </c>
    </row>
    <row r="16">
      <c r="B16" s="28" t="inlineStr">
        <is>
          <t>Gas Detectors</t>
        </is>
      </c>
      <c r="C16" s="28" t="inlineStr">
        <is>
          <t>Processing</t>
        </is>
      </c>
      <c r="D16" s="31" t="n">
        <v>28</v>
      </c>
      <c r="E16" s="31" t="n">
        <v>35</v>
      </c>
      <c r="F16" s="38">
        <f>IFERROR([@Issued]/[@Required],0)</f>
        <v/>
      </c>
      <c r="G16" s="29" t="n">
        <v>46147</v>
      </c>
      <c r="H16" s="28">
        <f>IF([@Compliance]&gt;=0.95,"Compliant",IF([@Compliance]&gt;=0.85,"Monitor","Action"))</f>
        <v/>
      </c>
    </row>
  </sheetData>
  <mergeCells count="3">
    <mergeCell ref="A1:I2"/>
    <mergeCell ref="B5:I5"/>
    <mergeCell ref="A3:I3"/>
  </mergeCells>
  <conditionalFormatting sqref="H7:H500">
    <cfRule type="cellIs" priority="1" operator="equal" dxfId="6">
      <formula>"Compliant"</formula>
    </cfRule>
    <cfRule type="cellIs" priority="2" operator="equal" dxfId="4">
      <formula>"Monitor"</formula>
    </cfRule>
    <cfRule type="cellIs" priority="3" operator="equal" dxfId="3">
      <formula>"Action"</formula>
    </cfRule>
  </conditionalFormatting>
  <conditionalFormatting sqref="F7:F500">
    <cfRule type="colorScale" priority="4">
      <colorScale>
        <cfvo type="num" val="0.7"/>
        <cfvo type="num" val="0.85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3" customWidth="1" min="3" max="3"/>
    <col width="12" customWidth="1" min="4" max="4"/>
    <col width="16" customWidth="1" min="5" max="5"/>
    <col width="23" customWidth="1" min="6" max="6"/>
    <col width="23" customWidth="1" min="7" max="7"/>
    <col width="19" customWidth="1" min="8" max="8"/>
    <col width="14" customWidth="1" min="9" max="9"/>
  </cols>
  <sheetData>
    <row r="1" ht="16" customHeight="1">
      <c r="A1" s="1" t="inlineStr">
        <is>
          <t>ASANKO GOLD MINE   |   Safety-Critical Equipment Register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8" customHeight="1">
      <c r="A3" s="3" t="inlineStr">
        <is>
          <t>Health, Safety &amp; Environment Management System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B5" s="5" t="inlineStr">
        <is>
          <t>SAFETY-CRITICAL EQUIPMENT REGISTER</t>
        </is>
      </c>
      <c r="C5" s="6" t="n"/>
      <c r="D5" s="6" t="n"/>
      <c r="E5" s="6" t="n"/>
      <c r="F5" s="6" t="n"/>
      <c r="G5" s="6" t="n"/>
      <c r="H5" s="6" t="n"/>
      <c r="I5" s="6" t="n"/>
      <c r="J5" s="6" t="n"/>
    </row>
    <row r="6" ht="28" customHeight="1">
      <c r="B6" s="27" t="inlineStr">
        <is>
          <t>Asset_ID</t>
        </is>
      </c>
      <c r="C6" s="27" t="inlineStr">
        <is>
          <t>Asset</t>
        </is>
      </c>
      <c r="D6" s="27" t="inlineStr">
        <is>
          <t>Type</t>
        </is>
      </c>
      <c r="E6" s="27" t="inlineStr">
        <is>
          <t>Location</t>
        </is>
      </c>
      <c r="F6" s="27" t="inlineStr">
        <is>
          <t>Last_Inspection</t>
        </is>
      </c>
      <c r="G6" s="27" t="inlineStr">
        <is>
          <t>Next_Inspection</t>
        </is>
      </c>
      <c r="H6" s="27" t="inlineStr">
        <is>
          <t>Days_To_Due</t>
        </is>
      </c>
      <c r="I6" s="27" t="inlineStr">
        <is>
          <t>Status</t>
        </is>
      </c>
    </row>
    <row r="7">
      <c r="B7" s="28" t="inlineStr">
        <is>
          <t>EQP-001</t>
        </is>
      </c>
      <c r="C7" s="28" t="inlineStr">
        <is>
          <t>Fire Pump House 1</t>
        </is>
      </c>
      <c r="D7" s="28" t="inlineStr">
        <is>
          <t>Fire</t>
        </is>
      </c>
      <c r="E7" s="28" t="inlineStr">
        <is>
          <t>Warehouse &amp; Stores</t>
        </is>
      </c>
      <c r="F7" s="29" t="n">
        <v>46111</v>
      </c>
      <c r="G7" s="29" t="n">
        <v>46198</v>
      </c>
      <c r="H7" s="30">
        <f>[@Next_Inspection]-TODAY()</f>
        <v/>
      </c>
      <c r="I7" s="28">
        <f>IF([@Next_Inspection]&lt;TODAY(),"Overdue",IF([@Next_Inspection]-TODAY()&lt;=30,"Due Soon","Compliant"))</f>
        <v/>
      </c>
    </row>
    <row r="8">
      <c r="B8" s="28" t="inlineStr">
        <is>
          <t>EQP-002</t>
        </is>
      </c>
      <c r="C8" s="28" t="inlineStr">
        <is>
          <t>Foam System - Fuel Farm</t>
        </is>
      </c>
      <c r="D8" s="28" t="inlineStr">
        <is>
          <t>Fire</t>
        </is>
      </c>
      <c r="E8" s="28" t="inlineStr">
        <is>
          <t>Processing Plant (CIL)</t>
        </is>
      </c>
      <c r="F8" s="29" t="n">
        <v>46050</v>
      </c>
      <c r="G8" s="29" t="n">
        <v>46168</v>
      </c>
      <c r="H8" s="30">
        <f>[@Next_Inspection]-TODAY()</f>
        <v/>
      </c>
      <c r="I8" s="28">
        <f>IF([@Next_Inspection]&lt;TODAY(),"Overdue",IF([@Next_Inspection]-TODAY()&lt;=30,"Due Soon","Compliant"))</f>
        <v/>
      </c>
    </row>
    <row r="9">
      <c r="B9" s="28" t="inlineStr">
        <is>
          <t>EQP-003</t>
        </is>
      </c>
      <c r="C9" s="28" t="inlineStr">
        <is>
          <t>SCBA Set A</t>
        </is>
      </c>
      <c r="D9" s="28" t="inlineStr">
        <is>
          <t>Emergency</t>
        </is>
      </c>
      <c r="E9" s="28" t="inlineStr">
        <is>
          <t>Nkran Open Pit</t>
        </is>
      </c>
      <c r="F9" s="29" t="n">
        <v>46015</v>
      </c>
      <c r="G9" s="29" t="n">
        <v>46213</v>
      </c>
      <c r="H9" s="30">
        <f>[@Next_Inspection]-TODAY()</f>
        <v/>
      </c>
      <c r="I9" s="28">
        <f>IF([@Next_Inspection]&lt;TODAY(),"Overdue",IF([@Next_Inspection]-TODAY()&lt;=30,"Due Soon","Compliant"))</f>
        <v/>
      </c>
    </row>
    <row r="10">
      <c r="B10" s="28" t="inlineStr">
        <is>
          <t>EQP-004</t>
        </is>
      </c>
      <c r="C10" s="28" t="inlineStr">
        <is>
          <t>Overhead Crane - Workshop</t>
        </is>
      </c>
      <c r="D10" s="28" t="inlineStr">
        <is>
          <t>Lifting</t>
        </is>
      </c>
      <c r="E10" s="28" t="inlineStr">
        <is>
          <t>Fuel Farm</t>
        </is>
      </c>
      <c r="F10" s="29" t="n">
        <v>46003</v>
      </c>
      <c r="G10" s="29" t="n">
        <v>46263</v>
      </c>
      <c r="H10" s="30">
        <f>[@Next_Inspection]-TODAY()</f>
        <v/>
      </c>
      <c r="I10" s="28">
        <f>IF([@Next_Inspection]&lt;TODAY(),"Overdue",IF([@Next_Inspection]-TODAY()&lt;=30,"Due Soon","Compliant"))</f>
        <v/>
      </c>
    </row>
    <row r="11">
      <c r="B11" s="28" t="inlineStr">
        <is>
          <t>EQP-005</t>
        </is>
      </c>
      <c r="C11" s="28" t="inlineStr">
        <is>
          <t>Mobile Crane 50t</t>
        </is>
      </c>
      <c r="D11" s="28" t="inlineStr">
        <is>
          <t>Lifting</t>
        </is>
      </c>
      <c r="E11" s="28" t="inlineStr">
        <is>
          <t>Explosives Magazine</t>
        </is>
      </c>
      <c r="F11" s="29" t="n">
        <v>46082</v>
      </c>
      <c r="G11" s="29" t="n">
        <v>46188</v>
      </c>
      <c r="H11" s="30">
        <f>[@Next_Inspection]-TODAY()</f>
        <v/>
      </c>
      <c r="I11" s="28">
        <f>IF([@Next_Inspection]&lt;TODAY(),"Overdue",IF([@Next_Inspection]-TODAY()&lt;=30,"Due Soon","Compliant"))</f>
        <v/>
      </c>
    </row>
    <row r="12">
      <c r="B12" s="28" t="inlineStr">
        <is>
          <t>EQP-006</t>
        </is>
      </c>
      <c r="C12" s="28" t="inlineStr">
        <is>
          <t>Gas Detection Network</t>
        </is>
      </c>
      <c r="D12" s="28" t="inlineStr">
        <is>
          <t>Monitoring</t>
        </is>
      </c>
      <c r="E12" s="28" t="inlineStr">
        <is>
          <t>Accommodation Camp</t>
        </is>
      </c>
      <c r="F12" s="29" t="n">
        <v>46141</v>
      </c>
      <c r="G12" s="29" t="n">
        <v>46233</v>
      </c>
      <c r="H12" s="30">
        <f>[@Next_Inspection]-TODAY()</f>
        <v/>
      </c>
      <c r="I12" s="28">
        <f>IF([@Next_Inspection]&lt;TODAY(),"Overdue",IF([@Next_Inspection]-TODAY()&lt;=30,"Due Soon","Compliant"))</f>
        <v/>
      </c>
    </row>
    <row r="13">
      <c r="B13" s="28" t="inlineStr">
        <is>
          <t>EQP-007</t>
        </is>
      </c>
      <c r="C13" s="28" t="inlineStr">
        <is>
          <t>Eyewash Stations (CIL)</t>
        </is>
      </c>
      <c r="D13" s="28" t="inlineStr">
        <is>
          <t>Emergency</t>
        </is>
      </c>
      <c r="E13" s="28" t="inlineStr">
        <is>
          <t>Tailings Storage Facility</t>
        </is>
      </c>
      <c r="F13" s="29" t="n">
        <v>46066</v>
      </c>
      <c r="G13" s="29" t="n">
        <v>46171</v>
      </c>
      <c r="H13" s="30">
        <f>[@Next_Inspection]-TODAY()</f>
        <v/>
      </c>
      <c r="I13" s="28">
        <f>IF([@Next_Inspection]&lt;TODAY(),"Overdue",IF([@Next_Inspection]-TODAY()&lt;=30,"Due Soon","Compliant"))</f>
        <v/>
      </c>
    </row>
    <row r="14">
      <c r="B14" s="28" t="inlineStr">
        <is>
          <t>EQP-008</t>
        </is>
      </c>
      <c r="C14" s="28" t="inlineStr">
        <is>
          <t>Emergency Generator</t>
        </is>
      </c>
      <c r="D14" s="28" t="inlineStr">
        <is>
          <t>Power</t>
        </is>
      </c>
      <c r="E14" s="28" t="inlineStr">
        <is>
          <t>Tailings Storage Facility</t>
        </is>
      </c>
      <c r="F14" s="29" t="n">
        <v>46075</v>
      </c>
      <c r="G14" s="29" t="n">
        <v>46293</v>
      </c>
      <c r="H14" s="30">
        <f>[@Next_Inspection]-TODAY()</f>
        <v/>
      </c>
      <c r="I14" s="28">
        <f>IF([@Next_Inspection]&lt;TODAY(),"Overdue",IF([@Next_Inspection]-TODAY()&lt;=30,"Due Soon","Compliant"))</f>
        <v/>
      </c>
    </row>
    <row r="15">
      <c r="B15" s="28" t="inlineStr">
        <is>
          <t>EQP-009</t>
        </is>
      </c>
      <c r="C15" s="28" t="inlineStr">
        <is>
          <t>Ambulance 1</t>
        </is>
      </c>
      <c r="D15" s="28" t="inlineStr">
        <is>
          <t>Medical</t>
        </is>
      </c>
      <c r="E15" s="28" t="inlineStr">
        <is>
          <t>Power Station</t>
        </is>
      </c>
      <c r="F15" s="29" t="n">
        <v>46118</v>
      </c>
      <c r="G15" s="29" t="n">
        <v>46203</v>
      </c>
      <c r="H15" s="30">
        <f>[@Next_Inspection]-TODAY()</f>
        <v/>
      </c>
      <c r="I15" s="28">
        <f>IF([@Next_Inspection]&lt;TODAY(),"Overdue",IF([@Next_Inspection]-TODAY()&lt;=30,"Due Soon","Compliant"))</f>
        <v/>
      </c>
    </row>
    <row r="16">
      <c r="B16" s="28" t="inlineStr">
        <is>
          <t>EQP-010</t>
        </is>
      </c>
      <c r="C16" s="28" t="inlineStr">
        <is>
          <t>Tailings Piezometers</t>
        </is>
      </c>
      <c r="D16" s="28" t="inlineStr">
        <is>
          <t>Geotech</t>
        </is>
      </c>
      <c r="E16" s="28" t="inlineStr">
        <is>
          <t>Accommodation Camp</t>
        </is>
      </c>
      <c r="F16" s="29" t="n">
        <v>45992</v>
      </c>
      <c r="G16" s="29" t="n">
        <v>46248</v>
      </c>
      <c r="H16" s="30">
        <f>[@Next_Inspection]-TODAY()</f>
        <v/>
      </c>
      <c r="I16" s="28">
        <f>IF([@Next_Inspection]&lt;TODAY(),"Overdue",IF([@Next_Inspection]-TODAY()&lt;=30,"Due Soon","Compliant"))</f>
        <v/>
      </c>
    </row>
    <row r="17">
      <c r="B17" s="28" t="inlineStr">
        <is>
          <t>EQP-011</t>
        </is>
      </c>
      <c r="C17" s="28" t="inlineStr">
        <is>
          <t>AED Units</t>
        </is>
      </c>
      <c r="D17" s="28" t="inlineStr">
        <is>
          <t>Medical</t>
        </is>
      </c>
      <c r="E17" s="28" t="inlineStr">
        <is>
          <t>Haul Roads</t>
        </is>
      </c>
      <c r="F17" s="29" t="n">
        <v>45978</v>
      </c>
      <c r="G17" s="29" t="n">
        <v>46223</v>
      </c>
      <c r="H17" s="30">
        <f>[@Next_Inspection]-TODAY()</f>
        <v/>
      </c>
      <c r="I17" s="28">
        <f>IF([@Next_Inspection]&lt;TODAY(),"Overdue",IF([@Next_Inspection]-TODAY()&lt;=30,"Due Soon","Compliant"))</f>
        <v/>
      </c>
    </row>
    <row r="18">
      <c r="B18" s="28" t="inlineStr">
        <is>
          <t>EQP-012</t>
        </is>
      </c>
      <c r="C18" s="28" t="inlineStr">
        <is>
          <t>Spill Response Trailer</t>
        </is>
      </c>
      <c r="D18" s="28" t="inlineStr">
        <is>
          <t>Environmental</t>
        </is>
      </c>
      <c r="E18" s="28" t="inlineStr">
        <is>
          <t>Explosives Magazine</t>
        </is>
      </c>
      <c r="F18" s="29" t="n">
        <v>46144</v>
      </c>
      <c r="G18" s="29" t="n">
        <v>46273</v>
      </c>
      <c r="H18" s="30">
        <f>[@Next_Inspection]-TODAY()</f>
        <v/>
      </c>
      <c r="I18" s="28">
        <f>IF([@Next_Inspection]&lt;TODAY(),"Overdue",IF([@Next_Inspection]-TODAY()&lt;=30,"Due Soon","Compliant"))</f>
        <v/>
      </c>
    </row>
  </sheetData>
  <mergeCells count="3">
    <mergeCell ref="A1:J2"/>
    <mergeCell ref="B5:J5"/>
    <mergeCell ref="A3:J3"/>
  </mergeCells>
  <conditionalFormatting sqref="I7:I500">
    <cfRule type="cellIs" priority="1" operator="equal" dxfId="6">
      <formula>"Compliant"</formula>
    </cfRule>
    <cfRule type="cellIs" priority="2" operator="equal" dxfId="4">
      <formula>"Due Soon"</formula>
    </cfRule>
    <cfRule type="cellIs" priority="3" operator="equal" dxfId="3">
      <formula>"Overdue"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2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24" customWidth="1" min="17" max="17"/>
    <col width="11" customWidth="1" min="18" max="18"/>
    <col width="11" customWidth="1" min="19" max="19"/>
    <col width="13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16" customHeight="1">
      <c r="A1" s="1" t="inlineStr">
        <is>
          <t>ASANKO GOLD MINE   |   Calculation Engine  (chart sources -- filter-aware)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" customHeight="1">
      <c r="A3" s="3" t="inlineStr">
        <is>
          <t>Auto-generated. Do not edit; everything here recalculates from the data spine.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5">
      <c r="A5" s="65" t="inlineStr">
        <is>
          <t>Label</t>
        </is>
      </c>
      <c r="B5" s="65" t="inlineStr">
        <is>
          <t>Year</t>
        </is>
      </c>
      <c r="C5" s="65" t="inlineStr">
        <is>
          <t>MonthName</t>
        </is>
      </c>
      <c r="D5" s="65" t="inlineStr">
        <is>
          <t>Total</t>
        </is>
      </c>
      <c r="E5" s="65" t="inlineStr">
        <is>
          <t>Recordable</t>
        </is>
      </c>
      <c r="F5" s="65" t="inlineStr">
        <is>
          <t>NearMiss</t>
        </is>
      </c>
      <c r="G5" s="65" t="inlineStr">
        <is>
          <t>InspScore</t>
        </is>
      </c>
      <c r="H5" s="65" t="inlineStr">
        <is>
          <t>ManHours</t>
        </is>
      </c>
      <c r="I5" s="65" t="inlineStr">
        <is>
          <t>TRIFR</t>
        </is>
      </c>
      <c r="J5" s="65" t="inlineStr">
        <is>
          <t>InspDone</t>
        </is>
      </c>
      <c r="K5" s="65" t="inlineStr">
        <is>
          <t>TrainComp</t>
        </is>
      </c>
      <c r="L5" s="65" t="inlineStr">
        <is>
          <t>ObsRaised</t>
        </is>
      </c>
      <c r="M5" t="inlineStr"/>
      <c r="N5" s="65" t="inlineStr">
        <is>
          <t>Type</t>
        </is>
      </c>
      <c r="O5" s="65" t="inlineStr">
        <is>
          <t>TypeCount</t>
        </is>
      </c>
      <c r="P5" t="inlineStr"/>
      <c r="Q5" s="65" t="inlineStr">
        <is>
          <t>Area</t>
        </is>
      </c>
      <c r="R5" s="65" t="inlineStr">
        <is>
          <t>AreaCount</t>
        </is>
      </c>
      <c r="S5" t="inlineStr"/>
      <c r="T5" s="65" t="inlineStr">
        <is>
          <t>Status</t>
        </is>
      </c>
      <c r="U5" s="65" t="inlineStr">
        <is>
          <t>StatCount</t>
        </is>
      </c>
      <c r="V5" t="inlineStr"/>
      <c r="W5" s="65" t="inlineStr">
        <is>
          <t>InspPlanned</t>
        </is>
      </c>
      <c r="X5" s="65" t="inlineStr">
        <is>
          <t>InspComp%</t>
        </is>
      </c>
      <c r="Y5" s="65" t="inlineStr">
        <is>
          <t>TrainAssigned</t>
        </is>
      </c>
      <c r="Z5" s="65" t="inlineStr">
        <is>
          <t>TrainComp%</t>
        </is>
      </c>
    </row>
    <row r="6">
      <c r="A6">
        <f>C6&amp;"-"&amp;RIGHT(B6,2)</f>
        <v/>
      </c>
      <c r="B6" t="n">
        <v>2024</v>
      </c>
      <c r="C6" t="inlineStr">
        <is>
          <t>Jun</t>
        </is>
      </c>
      <c r="D6">
        <f>SUMPRODUCT(((F_Dept="All")+(F_Dept="")+(tblIncidents[Department]=F_Dept))*((F_Loc="All")+(F_Loc="")+(tblIncidents[Area]=F_Loc))*(tblIncidents[Year]=$B6)*(tblIncidents[MonthName]=$C6))</f>
        <v/>
      </c>
      <c r="E6">
        <f>SUMPRODUCT(((F_Dept="All")+(F_Dept="")+(tblIncidents[Department]=F_Dept))*((F_Loc="All")+(F_Loc="")+(tblIncidents[Area]=F_Loc))*(tblIncidents[Year]=$B6)*(tblIncidents[MonthName]=$C6)*tblIncidents[Recordable])</f>
        <v/>
      </c>
      <c r="F6">
        <f>SUMPRODUCT(((F_Dept="All")+(F_Dept="")+(tblActivity[Department]=F_Dept))*((F_Loc="All")+(F_Loc="")+(tblActivity[Area]=F_Loc))*(tblActivity[Year]=$B6)*(tblActivity[MonthName]=$C6)*tblActivity[NearMisses])</f>
        <v/>
      </c>
      <c r="G6" s="56">
        <f>IFERROR(SUMPRODUCT(((F_Dept="All")+(F_Dept="")+(tblActivity[Department]=F_Dept))*((F_Loc="All")+(F_Loc="")+(tblActivity[Area]=F_Loc))*(tblActivity[Year]=$B6)*(tblActivity[MonthName]=$C6)*tblActivity[InspDone]*tblActivity[InspScore])/SUMPRODUCT(((F_Dept="All")+(F_Dept="")+(tblActivity[Department]=F_Dept))*((F_Loc="All")+(F_Loc="")+(tblActivity[Area]=F_Loc))*(tblActivity[Year]=$B6)*(tblActivity[MonthName]=$C6)*tblActivity[InspDone]),"")</f>
        <v/>
      </c>
      <c r="H6">
        <f>SUMPRODUCT(((F_Dept="All")+(F_Dept="")+(tblActivity[Department]=F_Dept))*((F_Loc="All")+(F_Loc="")+(tblActivity[Area]=F_Loc))*(tblActivity[Year]=$B6)*(tblActivity[MonthName]=$C6)*tblActivity[ManHours])</f>
        <v/>
      </c>
      <c r="I6" s="66">
        <f>IF(H6=0,0,E6/H6*RATE_BASE)</f>
        <v/>
      </c>
      <c r="J6">
        <f>SUMPRODUCT(((F_Dept="All")+(F_Dept="")+(tblActivity[Department]=F_Dept))*((F_Loc="All")+(F_Loc="")+(tblActivity[Area]=F_Loc))*(tblActivity[Year]=$B6)*(tblActivity[MonthName]=$C6)*tblActivity[InspDone])</f>
        <v/>
      </c>
      <c r="K6">
        <f>SUMPRODUCT(((F_Dept="All")+(F_Dept="")+(tblActivity[Department]=F_Dept))*((F_Loc="All")+(F_Loc="")+(tblActivity[Area]=F_Loc))*(tblActivity[Year]=$B6)*(tblActivity[MonthName]=$C6)*tblActivity[TrainCompleted])</f>
        <v/>
      </c>
      <c r="L6">
        <f>SUMPRODUCT(((F_Dept="All")+(F_Dept="")+(tblActivity[Department]=F_Dept))*((F_Loc="All")+(F_Loc="")+(tblActivity[Area]=F_Loc))*(tblActivity[Year]=$B6)*(tblActivity[MonthName]=$C6)*tblActivity[ObsRaised])</f>
        <v/>
      </c>
      <c r="N6" t="inlineStr">
        <is>
          <t>Medical Treatment</t>
        </is>
      </c>
      <c r="O6">
        <f>SUMPRODUCT(((F_Year="All")+(F_Year="")+(tblIncidents[Year]=F_Year))*((F_Month="All")+(F_Month="")+(tblIncidents[MonthName]=F_Month))*((F_Dept="All")+(F_Dept="")+(tblIncidents[Department]=F_Dept))*((F_Loc="All")+(F_Loc="")+(tblIncidents[Area]=F_Loc))*(tblIncidents[Type]=$N6))</f>
        <v/>
      </c>
      <c r="Q6" t="inlineStr">
        <is>
          <t>Nkran Open Pit</t>
        </is>
      </c>
      <c r="R6">
        <f>SUMPRODUCT(((F_Year="All")+(F_Year="")+(tblIncidents[Year]=F_Year))*((F_Month="All")+(F_Month="")+(tblIncidents[MonthName]=F_Month))*((F_Dept="All")+(F_Dept="")+(tblIncidents[Department]=F_Dept))*(tblIncidents[Area]=$Q6))</f>
        <v/>
      </c>
      <c r="T6" t="inlineStr">
        <is>
          <t>Open</t>
        </is>
      </c>
      <c r="U6">
        <f>SUMPRODUCT(((F_Dept="All")+(F_Dept="")+(tblActions[Department]=F_Dept))*((F_Loc="All")+(F_Loc="")+(tblActions[Area]=F_Loc))*(tblActions[Status]=$T6))</f>
        <v/>
      </c>
      <c r="W6">
        <f>SUMPRODUCT(((F_Dept="All")+(F_Dept="")+(tblActivity[Department]=F_Dept))*((F_Loc="All")+(F_Loc="")+(tblActivity[Area]=F_Loc))*(tblActivity[Year]=$B6)*(tblActivity[MonthName]=$C6)*tblActivity[InspPlanned])</f>
        <v/>
      </c>
      <c r="X6" s="56">
        <f>IFERROR(J6/W6,0)</f>
        <v/>
      </c>
      <c r="Y6">
        <f>SUMPRODUCT(((F_Dept="All")+(F_Dept="")+(tblActivity[Department]=F_Dept))*((F_Loc="All")+(F_Loc="")+(tblActivity[Area]=F_Loc))*(tblActivity[Year]=$B6)*(tblActivity[MonthName]=$C6)*tblActivity[TrainAssigned])</f>
        <v/>
      </c>
      <c r="Z6" s="56">
        <f>IFERROR(K6/Y6,0)</f>
        <v/>
      </c>
    </row>
    <row r="7">
      <c r="A7">
        <f>C7&amp;"-"&amp;RIGHT(B7,2)</f>
        <v/>
      </c>
      <c r="B7" t="n">
        <v>2024</v>
      </c>
      <c r="C7" t="inlineStr">
        <is>
          <t>Jul</t>
        </is>
      </c>
      <c r="D7">
        <f>SUMPRODUCT(((F_Dept="All")+(F_Dept="")+(tblIncidents[Department]=F_Dept))*((F_Loc="All")+(F_Loc="")+(tblIncidents[Area]=F_Loc))*(tblIncidents[Year]=$B7)*(tblIncidents[MonthName]=$C7))</f>
        <v/>
      </c>
      <c r="E7">
        <f>SUMPRODUCT(((F_Dept="All")+(F_Dept="")+(tblIncidents[Department]=F_Dept))*((F_Loc="All")+(F_Loc="")+(tblIncidents[Area]=F_Loc))*(tblIncidents[Year]=$B7)*(tblIncidents[MonthName]=$C7)*tblIncidents[Recordable])</f>
        <v/>
      </c>
      <c r="F7">
        <f>SUMPRODUCT(((F_Dept="All")+(F_Dept="")+(tblActivity[Department]=F_Dept))*((F_Loc="All")+(F_Loc="")+(tblActivity[Area]=F_Loc))*(tblActivity[Year]=$B7)*(tblActivity[MonthName]=$C7)*tblActivity[NearMisses])</f>
        <v/>
      </c>
      <c r="G7" s="56">
        <f>IFERROR(SUMPRODUCT(((F_Dept="All")+(F_Dept="")+(tblActivity[Department]=F_Dept))*((F_Loc="All")+(F_Loc="")+(tblActivity[Area]=F_Loc))*(tblActivity[Year]=$B7)*(tblActivity[MonthName]=$C7)*tblActivity[InspDone]*tblActivity[InspScore])/SUMPRODUCT(((F_Dept="All")+(F_Dept="")+(tblActivity[Department]=F_Dept))*((F_Loc="All")+(F_Loc="")+(tblActivity[Area]=F_Loc))*(tblActivity[Year]=$B7)*(tblActivity[MonthName]=$C7)*tblActivity[InspDone]),"")</f>
        <v/>
      </c>
      <c r="H7">
        <f>SUMPRODUCT(((F_Dept="All")+(F_Dept="")+(tblActivity[Department]=F_Dept))*((F_Loc="All")+(F_Loc="")+(tblActivity[Area]=F_Loc))*(tblActivity[Year]=$B7)*(tblActivity[MonthName]=$C7)*tblActivity[ManHours])</f>
        <v/>
      </c>
      <c r="I7" s="66">
        <f>IF(H7=0,0,E7/H7*RATE_BASE)</f>
        <v/>
      </c>
      <c r="J7">
        <f>SUMPRODUCT(((F_Dept="All")+(F_Dept="")+(tblActivity[Department]=F_Dept))*((F_Loc="All")+(F_Loc="")+(tblActivity[Area]=F_Loc))*(tblActivity[Year]=$B7)*(tblActivity[MonthName]=$C7)*tblActivity[InspDone])</f>
        <v/>
      </c>
      <c r="K7">
        <f>SUMPRODUCT(((F_Dept="All")+(F_Dept="")+(tblActivity[Department]=F_Dept))*((F_Loc="All")+(F_Loc="")+(tblActivity[Area]=F_Loc))*(tblActivity[Year]=$B7)*(tblActivity[MonthName]=$C7)*tblActivity[TrainCompleted])</f>
        <v/>
      </c>
      <c r="L7">
        <f>SUMPRODUCT(((F_Dept="All")+(F_Dept="")+(tblActivity[Department]=F_Dept))*((F_Loc="All")+(F_Loc="")+(tblActivity[Area]=F_Loc))*(tblActivity[Year]=$B7)*(tblActivity[MonthName]=$C7)*tblActivity[ObsRaised])</f>
        <v/>
      </c>
      <c r="N7" t="inlineStr">
        <is>
          <t>First Aid</t>
        </is>
      </c>
      <c r="O7">
        <f>SUMPRODUCT(((F_Year="All")+(F_Year="")+(tblIncidents[Year]=F_Year))*((F_Month="All")+(F_Month="")+(tblIncidents[MonthName]=F_Month))*((F_Dept="All")+(F_Dept="")+(tblIncidents[Department]=F_Dept))*((F_Loc="All")+(F_Loc="")+(tblIncidents[Area]=F_Loc))*(tblIncidents[Type]=$N7))</f>
        <v/>
      </c>
      <c r="Q7" t="inlineStr">
        <is>
          <t>Esaase Open Pit</t>
        </is>
      </c>
      <c r="R7">
        <f>SUMPRODUCT(((F_Year="All")+(F_Year="")+(tblIncidents[Year]=F_Year))*((F_Month="All")+(F_Month="")+(tblIncidents[MonthName]=F_Month))*((F_Dept="All")+(F_Dept="")+(tblIncidents[Department]=F_Dept))*(tblIncidents[Area]=$Q7))</f>
        <v/>
      </c>
      <c r="T7" t="inlineStr">
        <is>
          <t>In Progress</t>
        </is>
      </c>
      <c r="U7">
        <f>SUMPRODUCT(((F_Dept="All")+(F_Dept="")+(tblActions[Department]=F_Dept))*((F_Loc="All")+(F_Loc="")+(tblActions[Area]=F_Loc))*(tblActions[Status]=$T7))</f>
        <v/>
      </c>
      <c r="W7">
        <f>SUMPRODUCT(((F_Dept="All")+(F_Dept="")+(tblActivity[Department]=F_Dept))*((F_Loc="All")+(F_Loc="")+(tblActivity[Area]=F_Loc))*(tblActivity[Year]=$B7)*(tblActivity[MonthName]=$C7)*tblActivity[InspPlanned])</f>
        <v/>
      </c>
      <c r="X7" s="56">
        <f>IFERROR(J7/W7,0)</f>
        <v/>
      </c>
      <c r="Y7">
        <f>SUMPRODUCT(((F_Dept="All")+(F_Dept="")+(tblActivity[Department]=F_Dept))*((F_Loc="All")+(F_Loc="")+(tblActivity[Area]=F_Loc))*(tblActivity[Year]=$B7)*(tblActivity[MonthName]=$C7)*tblActivity[TrainAssigned])</f>
        <v/>
      </c>
      <c r="Z7" s="56">
        <f>IFERROR(K7/Y7,0)</f>
        <v/>
      </c>
    </row>
    <row r="8">
      <c r="A8">
        <f>C8&amp;"-"&amp;RIGHT(B8,2)</f>
        <v/>
      </c>
      <c r="B8" t="n">
        <v>2024</v>
      </c>
      <c r="C8" t="inlineStr">
        <is>
          <t>Aug</t>
        </is>
      </c>
      <c r="D8">
        <f>SUMPRODUCT(((F_Dept="All")+(F_Dept="")+(tblIncidents[Department]=F_Dept))*((F_Loc="All")+(F_Loc="")+(tblIncidents[Area]=F_Loc))*(tblIncidents[Year]=$B8)*(tblIncidents[MonthName]=$C8))</f>
        <v/>
      </c>
      <c r="E8">
        <f>SUMPRODUCT(((F_Dept="All")+(F_Dept="")+(tblIncidents[Department]=F_Dept))*((F_Loc="All")+(F_Loc="")+(tblIncidents[Area]=F_Loc))*(tblIncidents[Year]=$B8)*(tblIncidents[MonthName]=$C8)*tblIncidents[Recordable])</f>
        <v/>
      </c>
      <c r="F8">
        <f>SUMPRODUCT(((F_Dept="All")+(F_Dept="")+(tblActivity[Department]=F_Dept))*((F_Loc="All")+(F_Loc="")+(tblActivity[Area]=F_Loc))*(tblActivity[Year]=$B8)*(tblActivity[MonthName]=$C8)*tblActivity[NearMisses])</f>
        <v/>
      </c>
      <c r="G8" s="56">
        <f>IFERROR(SUMPRODUCT(((F_Dept="All")+(F_Dept="")+(tblActivity[Department]=F_Dept))*((F_Loc="All")+(F_Loc="")+(tblActivity[Area]=F_Loc))*(tblActivity[Year]=$B8)*(tblActivity[MonthName]=$C8)*tblActivity[InspDone]*tblActivity[InspScore])/SUMPRODUCT(((F_Dept="All")+(F_Dept="")+(tblActivity[Department]=F_Dept))*((F_Loc="All")+(F_Loc="")+(tblActivity[Area]=F_Loc))*(tblActivity[Year]=$B8)*(tblActivity[MonthName]=$C8)*tblActivity[InspDone]),"")</f>
        <v/>
      </c>
      <c r="H8">
        <f>SUMPRODUCT(((F_Dept="All")+(F_Dept="")+(tblActivity[Department]=F_Dept))*((F_Loc="All")+(F_Loc="")+(tblActivity[Area]=F_Loc))*(tblActivity[Year]=$B8)*(tblActivity[MonthName]=$C8)*tblActivity[ManHours])</f>
        <v/>
      </c>
      <c r="I8" s="66">
        <f>IF(H8=0,0,E8/H8*RATE_BASE)</f>
        <v/>
      </c>
      <c r="J8">
        <f>SUMPRODUCT(((F_Dept="All")+(F_Dept="")+(tblActivity[Department]=F_Dept))*((F_Loc="All")+(F_Loc="")+(tblActivity[Area]=F_Loc))*(tblActivity[Year]=$B8)*(tblActivity[MonthName]=$C8)*tblActivity[InspDone])</f>
        <v/>
      </c>
      <c r="K8">
        <f>SUMPRODUCT(((F_Dept="All")+(F_Dept="")+(tblActivity[Department]=F_Dept))*((F_Loc="All")+(F_Loc="")+(tblActivity[Area]=F_Loc))*(tblActivity[Year]=$B8)*(tblActivity[MonthName]=$C8)*tblActivity[TrainCompleted])</f>
        <v/>
      </c>
      <c r="L8">
        <f>SUMPRODUCT(((F_Dept="All")+(F_Dept="")+(tblActivity[Department]=F_Dept))*((F_Loc="All")+(F_Loc="")+(tblActivity[Area]=F_Loc))*(tblActivity[Year]=$B8)*(tblActivity[MonthName]=$C8)*tblActivity[ObsRaised])</f>
        <v/>
      </c>
      <c r="N8" t="inlineStr">
        <is>
          <t>Restricted Work</t>
        </is>
      </c>
      <c r="O8">
        <f>SUMPRODUCT(((F_Year="All")+(F_Year="")+(tblIncidents[Year]=F_Year))*((F_Month="All")+(F_Month="")+(tblIncidents[MonthName]=F_Month))*((F_Dept="All")+(F_Dept="")+(tblIncidents[Department]=F_Dept))*((F_Loc="All")+(F_Loc="")+(tblIncidents[Area]=F_Loc))*(tblIncidents[Type]=$N8))</f>
        <v/>
      </c>
      <c r="Q8" t="inlineStr">
        <is>
          <t>Drill &amp; Blast</t>
        </is>
      </c>
      <c r="R8">
        <f>SUMPRODUCT(((F_Year="All")+(F_Year="")+(tblIncidents[Year]=F_Year))*((F_Month="All")+(F_Month="")+(tblIncidents[MonthName]=F_Month))*((F_Dept="All")+(F_Dept="")+(tblIncidents[Department]=F_Dept))*(tblIncidents[Area]=$Q8))</f>
        <v/>
      </c>
      <c r="T8" t="inlineStr">
        <is>
          <t>Due Soon</t>
        </is>
      </c>
      <c r="U8">
        <f>SUMPRODUCT(((F_Dept="All")+(F_Dept="")+(tblActions[Department]=F_Dept))*((F_Loc="All")+(F_Loc="")+(tblActions[Area]=F_Loc))*(tblActions[Status]=$T8))</f>
        <v/>
      </c>
      <c r="W8">
        <f>SUMPRODUCT(((F_Dept="All")+(F_Dept="")+(tblActivity[Department]=F_Dept))*((F_Loc="All")+(F_Loc="")+(tblActivity[Area]=F_Loc))*(tblActivity[Year]=$B8)*(tblActivity[MonthName]=$C8)*tblActivity[InspPlanned])</f>
        <v/>
      </c>
      <c r="X8" s="56">
        <f>IFERROR(J8/W8,0)</f>
        <v/>
      </c>
      <c r="Y8">
        <f>SUMPRODUCT(((F_Dept="All")+(F_Dept="")+(tblActivity[Department]=F_Dept))*((F_Loc="All")+(F_Loc="")+(tblActivity[Area]=F_Loc))*(tblActivity[Year]=$B8)*(tblActivity[MonthName]=$C8)*tblActivity[TrainAssigned])</f>
        <v/>
      </c>
      <c r="Z8" s="56">
        <f>IFERROR(K8/Y8,0)</f>
        <v/>
      </c>
    </row>
    <row r="9">
      <c r="A9">
        <f>C9&amp;"-"&amp;RIGHT(B9,2)</f>
        <v/>
      </c>
      <c r="B9" t="n">
        <v>2024</v>
      </c>
      <c r="C9" t="inlineStr">
        <is>
          <t>Sep</t>
        </is>
      </c>
      <c r="D9">
        <f>SUMPRODUCT(((F_Dept="All")+(F_Dept="")+(tblIncidents[Department]=F_Dept))*((F_Loc="All")+(F_Loc="")+(tblIncidents[Area]=F_Loc))*(tblIncidents[Year]=$B9)*(tblIncidents[MonthName]=$C9))</f>
        <v/>
      </c>
      <c r="E9">
        <f>SUMPRODUCT(((F_Dept="All")+(F_Dept="")+(tblIncidents[Department]=F_Dept))*((F_Loc="All")+(F_Loc="")+(tblIncidents[Area]=F_Loc))*(tblIncidents[Year]=$B9)*(tblIncidents[MonthName]=$C9)*tblIncidents[Recordable])</f>
        <v/>
      </c>
      <c r="F9">
        <f>SUMPRODUCT(((F_Dept="All")+(F_Dept="")+(tblActivity[Department]=F_Dept))*((F_Loc="All")+(F_Loc="")+(tblActivity[Area]=F_Loc))*(tblActivity[Year]=$B9)*(tblActivity[MonthName]=$C9)*tblActivity[NearMisses])</f>
        <v/>
      </c>
      <c r="G9" s="56">
        <f>IFERROR(SUMPRODUCT(((F_Dept="All")+(F_Dept="")+(tblActivity[Department]=F_Dept))*((F_Loc="All")+(F_Loc="")+(tblActivity[Area]=F_Loc))*(tblActivity[Year]=$B9)*(tblActivity[MonthName]=$C9)*tblActivity[InspDone]*tblActivity[InspScore])/SUMPRODUCT(((F_Dept="All")+(F_Dept="")+(tblActivity[Department]=F_Dept))*((F_Loc="All")+(F_Loc="")+(tblActivity[Area]=F_Loc))*(tblActivity[Year]=$B9)*(tblActivity[MonthName]=$C9)*tblActivity[InspDone]),"")</f>
        <v/>
      </c>
      <c r="H9">
        <f>SUMPRODUCT(((F_Dept="All")+(F_Dept="")+(tblActivity[Department]=F_Dept))*((F_Loc="All")+(F_Loc="")+(tblActivity[Area]=F_Loc))*(tblActivity[Year]=$B9)*(tblActivity[MonthName]=$C9)*tblActivity[ManHours])</f>
        <v/>
      </c>
      <c r="I9" s="66">
        <f>IF(H9=0,0,E9/H9*RATE_BASE)</f>
        <v/>
      </c>
      <c r="J9">
        <f>SUMPRODUCT(((F_Dept="All")+(F_Dept="")+(tblActivity[Department]=F_Dept))*((F_Loc="All")+(F_Loc="")+(tblActivity[Area]=F_Loc))*(tblActivity[Year]=$B9)*(tblActivity[MonthName]=$C9)*tblActivity[InspDone])</f>
        <v/>
      </c>
      <c r="K9">
        <f>SUMPRODUCT(((F_Dept="All")+(F_Dept="")+(tblActivity[Department]=F_Dept))*((F_Loc="All")+(F_Loc="")+(tblActivity[Area]=F_Loc))*(tblActivity[Year]=$B9)*(tblActivity[MonthName]=$C9)*tblActivity[TrainCompleted])</f>
        <v/>
      </c>
      <c r="L9">
        <f>SUMPRODUCT(((F_Dept="All")+(F_Dept="")+(tblActivity[Department]=F_Dept))*((F_Loc="All")+(F_Loc="")+(tblActivity[Area]=F_Loc))*(tblActivity[Year]=$B9)*(tblActivity[MonthName]=$C9)*tblActivity[ObsRaised])</f>
        <v/>
      </c>
      <c r="N9" t="inlineStr">
        <is>
          <t>Lost Time Injury</t>
        </is>
      </c>
      <c r="O9">
        <f>SUMPRODUCT(((F_Year="All")+(F_Year="")+(tblIncidents[Year]=F_Year))*((F_Month="All")+(F_Month="")+(tblIncidents[MonthName]=F_Month))*((F_Dept="All")+(F_Dept="")+(tblIncidents[Department]=F_Dept))*((F_Loc="All")+(F_Loc="")+(tblIncidents[Area]=F_Loc))*(tblIncidents[Type]=$N9))</f>
        <v/>
      </c>
      <c r="Q9" t="inlineStr">
        <is>
          <t>Haul Roads</t>
        </is>
      </c>
      <c r="R9">
        <f>SUMPRODUCT(((F_Year="All")+(F_Year="")+(tblIncidents[Year]=F_Year))*((F_Month="All")+(F_Month="")+(tblIncidents[MonthName]=F_Month))*((F_Dept="All")+(F_Dept="")+(tblIncidents[Department]=F_Dept))*(tblIncidents[Area]=$Q9))</f>
        <v/>
      </c>
      <c r="T9" t="inlineStr">
        <is>
          <t>Closed</t>
        </is>
      </c>
      <c r="U9">
        <f>SUMPRODUCT(((F_Dept="All")+(F_Dept="")+(tblActions[Department]=F_Dept))*((F_Loc="All")+(F_Loc="")+(tblActions[Area]=F_Loc))*(tblActions[Status]=$T9))</f>
        <v/>
      </c>
      <c r="W9">
        <f>SUMPRODUCT(((F_Dept="All")+(F_Dept="")+(tblActivity[Department]=F_Dept))*((F_Loc="All")+(F_Loc="")+(tblActivity[Area]=F_Loc))*(tblActivity[Year]=$B9)*(tblActivity[MonthName]=$C9)*tblActivity[InspPlanned])</f>
        <v/>
      </c>
      <c r="X9" s="56">
        <f>IFERROR(J9/W9,0)</f>
        <v/>
      </c>
      <c r="Y9">
        <f>SUMPRODUCT(((F_Dept="All")+(F_Dept="")+(tblActivity[Department]=F_Dept))*((F_Loc="All")+(F_Loc="")+(tblActivity[Area]=F_Loc))*(tblActivity[Year]=$B9)*(tblActivity[MonthName]=$C9)*tblActivity[TrainAssigned])</f>
        <v/>
      </c>
      <c r="Z9" s="56">
        <f>IFERROR(K9/Y9,0)</f>
        <v/>
      </c>
    </row>
    <row r="10">
      <c r="A10">
        <f>C10&amp;"-"&amp;RIGHT(B10,2)</f>
        <v/>
      </c>
      <c r="B10" t="n">
        <v>2024</v>
      </c>
      <c r="C10" t="inlineStr">
        <is>
          <t>Oct</t>
        </is>
      </c>
      <c r="D10">
        <f>SUMPRODUCT(((F_Dept="All")+(F_Dept="")+(tblIncidents[Department]=F_Dept))*((F_Loc="All")+(F_Loc="")+(tblIncidents[Area]=F_Loc))*(tblIncidents[Year]=$B10)*(tblIncidents[MonthName]=$C10))</f>
        <v/>
      </c>
      <c r="E10">
        <f>SUMPRODUCT(((F_Dept="All")+(F_Dept="")+(tblIncidents[Department]=F_Dept))*((F_Loc="All")+(F_Loc="")+(tblIncidents[Area]=F_Loc))*(tblIncidents[Year]=$B10)*(tblIncidents[MonthName]=$C10)*tblIncidents[Recordable])</f>
        <v/>
      </c>
      <c r="F10">
        <f>SUMPRODUCT(((F_Dept="All")+(F_Dept="")+(tblActivity[Department]=F_Dept))*((F_Loc="All")+(F_Loc="")+(tblActivity[Area]=F_Loc))*(tblActivity[Year]=$B10)*(tblActivity[MonthName]=$C10)*tblActivity[NearMisses])</f>
        <v/>
      </c>
      <c r="G10" s="56">
        <f>IFERROR(SUMPRODUCT(((F_Dept="All")+(F_Dept="")+(tblActivity[Department]=F_Dept))*((F_Loc="All")+(F_Loc="")+(tblActivity[Area]=F_Loc))*(tblActivity[Year]=$B10)*(tblActivity[MonthName]=$C10)*tblActivity[InspDone]*tblActivity[InspScore])/SUMPRODUCT(((F_Dept="All")+(F_Dept="")+(tblActivity[Department]=F_Dept))*((F_Loc="All")+(F_Loc="")+(tblActivity[Area]=F_Loc))*(tblActivity[Year]=$B10)*(tblActivity[MonthName]=$C10)*tblActivity[InspDone]),"")</f>
        <v/>
      </c>
      <c r="H10">
        <f>SUMPRODUCT(((F_Dept="All")+(F_Dept="")+(tblActivity[Department]=F_Dept))*((F_Loc="All")+(F_Loc="")+(tblActivity[Area]=F_Loc))*(tblActivity[Year]=$B10)*(tblActivity[MonthName]=$C10)*tblActivity[ManHours])</f>
        <v/>
      </c>
      <c r="I10" s="66">
        <f>IF(H10=0,0,E10/H10*RATE_BASE)</f>
        <v/>
      </c>
      <c r="J10">
        <f>SUMPRODUCT(((F_Dept="All")+(F_Dept="")+(tblActivity[Department]=F_Dept))*((F_Loc="All")+(F_Loc="")+(tblActivity[Area]=F_Loc))*(tblActivity[Year]=$B10)*(tblActivity[MonthName]=$C10)*tblActivity[InspDone])</f>
        <v/>
      </c>
      <c r="K10">
        <f>SUMPRODUCT(((F_Dept="All")+(F_Dept="")+(tblActivity[Department]=F_Dept))*((F_Loc="All")+(F_Loc="")+(tblActivity[Area]=F_Loc))*(tblActivity[Year]=$B10)*(tblActivity[MonthName]=$C10)*tblActivity[TrainCompleted])</f>
        <v/>
      </c>
      <c r="L10">
        <f>SUMPRODUCT(((F_Dept="All")+(F_Dept="")+(tblActivity[Department]=F_Dept))*((F_Loc="All")+(F_Loc="")+(tblActivity[Area]=F_Loc))*(tblActivity[Year]=$B10)*(tblActivity[MonthName]=$C10)*tblActivity[ObsRaised])</f>
        <v/>
      </c>
      <c r="N10" t="inlineStr">
        <is>
          <t>Property Damage</t>
        </is>
      </c>
      <c r="O10">
        <f>SUMPRODUCT(((F_Year="All")+(F_Year="")+(tblIncidents[Year]=F_Year))*((F_Month="All")+(F_Month="")+(tblIncidents[MonthName]=F_Month))*((F_Dept="All")+(F_Dept="")+(tblIncidents[Department]=F_Dept))*((F_Loc="All")+(F_Loc="")+(tblIncidents[Area]=F_Loc))*(tblIncidents[Type]=$N10))</f>
        <v/>
      </c>
      <c r="Q10" t="inlineStr">
        <is>
          <t>Explosives Magazine</t>
        </is>
      </c>
      <c r="R10">
        <f>SUMPRODUCT(((F_Year="All")+(F_Year="")+(tblIncidents[Year]=F_Year))*((F_Month="All")+(F_Month="")+(tblIncidents[MonthName]=F_Month))*((F_Dept="All")+(F_Dept="")+(tblIncidents[Department]=F_Dept))*(tblIncidents[Area]=$Q10))</f>
        <v/>
      </c>
      <c r="W10">
        <f>SUMPRODUCT(((F_Dept="All")+(F_Dept="")+(tblActivity[Department]=F_Dept))*((F_Loc="All")+(F_Loc="")+(tblActivity[Area]=F_Loc))*(tblActivity[Year]=$B10)*(tblActivity[MonthName]=$C10)*tblActivity[InspPlanned])</f>
        <v/>
      </c>
      <c r="X10" s="56">
        <f>IFERROR(J10/W10,0)</f>
        <v/>
      </c>
      <c r="Y10">
        <f>SUMPRODUCT(((F_Dept="All")+(F_Dept="")+(tblActivity[Department]=F_Dept))*((F_Loc="All")+(F_Loc="")+(tblActivity[Area]=F_Loc))*(tblActivity[Year]=$B10)*(tblActivity[MonthName]=$C10)*tblActivity[TrainAssigned])</f>
        <v/>
      </c>
      <c r="Z10" s="56">
        <f>IFERROR(K10/Y10,0)</f>
        <v/>
      </c>
    </row>
    <row r="11">
      <c r="A11">
        <f>C11&amp;"-"&amp;RIGHT(B11,2)</f>
        <v/>
      </c>
      <c r="B11" t="n">
        <v>2024</v>
      </c>
      <c r="C11" t="inlineStr">
        <is>
          <t>Nov</t>
        </is>
      </c>
      <c r="D11">
        <f>SUMPRODUCT(((F_Dept="All")+(F_Dept="")+(tblIncidents[Department]=F_Dept))*((F_Loc="All")+(F_Loc="")+(tblIncidents[Area]=F_Loc))*(tblIncidents[Year]=$B11)*(tblIncidents[MonthName]=$C11))</f>
        <v/>
      </c>
      <c r="E11">
        <f>SUMPRODUCT(((F_Dept="All")+(F_Dept="")+(tblIncidents[Department]=F_Dept))*((F_Loc="All")+(F_Loc="")+(tblIncidents[Area]=F_Loc))*(tblIncidents[Year]=$B11)*(tblIncidents[MonthName]=$C11)*tblIncidents[Recordable])</f>
        <v/>
      </c>
      <c r="F11">
        <f>SUMPRODUCT(((F_Dept="All")+(F_Dept="")+(tblActivity[Department]=F_Dept))*((F_Loc="All")+(F_Loc="")+(tblActivity[Area]=F_Loc))*(tblActivity[Year]=$B11)*(tblActivity[MonthName]=$C11)*tblActivity[NearMisses])</f>
        <v/>
      </c>
      <c r="G11" s="56">
        <f>IFERROR(SUMPRODUCT(((F_Dept="All")+(F_Dept="")+(tblActivity[Department]=F_Dept))*((F_Loc="All")+(F_Loc="")+(tblActivity[Area]=F_Loc))*(tblActivity[Year]=$B11)*(tblActivity[MonthName]=$C11)*tblActivity[InspDone]*tblActivity[InspScore])/SUMPRODUCT(((F_Dept="All")+(F_Dept="")+(tblActivity[Department]=F_Dept))*((F_Loc="All")+(F_Loc="")+(tblActivity[Area]=F_Loc))*(tblActivity[Year]=$B11)*(tblActivity[MonthName]=$C11)*tblActivity[InspDone]),"")</f>
        <v/>
      </c>
      <c r="H11">
        <f>SUMPRODUCT(((F_Dept="All")+(F_Dept="")+(tblActivity[Department]=F_Dept))*((F_Loc="All")+(F_Loc="")+(tblActivity[Area]=F_Loc))*(tblActivity[Year]=$B11)*(tblActivity[MonthName]=$C11)*tblActivity[ManHours])</f>
        <v/>
      </c>
      <c r="I11" s="66">
        <f>IF(H11=0,0,E11/H11*RATE_BASE)</f>
        <v/>
      </c>
      <c r="J11">
        <f>SUMPRODUCT(((F_Dept="All")+(F_Dept="")+(tblActivity[Department]=F_Dept))*((F_Loc="All")+(F_Loc="")+(tblActivity[Area]=F_Loc))*(tblActivity[Year]=$B11)*(tblActivity[MonthName]=$C11)*tblActivity[InspDone])</f>
        <v/>
      </c>
      <c r="K11">
        <f>SUMPRODUCT(((F_Dept="All")+(F_Dept="")+(tblActivity[Department]=F_Dept))*((F_Loc="All")+(F_Loc="")+(tblActivity[Area]=F_Loc))*(tblActivity[Year]=$B11)*(tblActivity[MonthName]=$C11)*tblActivity[TrainCompleted])</f>
        <v/>
      </c>
      <c r="L11">
        <f>SUMPRODUCT(((F_Dept="All")+(F_Dept="")+(tblActivity[Department]=F_Dept))*((F_Loc="All")+(F_Loc="")+(tblActivity[Area]=F_Loc))*(tblActivity[Year]=$B11)*(tblActivity[MonthName]=$C11)*tblActivity[ObsRaised])</f>
        <v/>
      </c>
      <c r="N11" t="inlineStr">
        <is>
          <t>Environmental</t>
        </is>
      </c>
      <c r="O11">
        <f>SUMPRODUCT(((F_Year="All")+(F_Year="")+(tblIncidents[Year]=F_Year))*((F_Month="All")+(F_Month="")+(tblIncidents[MonthName]=F_Month))*((F_Dept="All")+(F_Dept="")+(tblIncidents[Department]=F_Dept))*((F_Loc="All")+(F_Loc="")+(tblIncidents[Area]=F_Loc))*(tblIncidents[Type]=$N11))</f>
        <v/>
      </c>
      <c r="Q11" t="inlineStr">
        <is>
          <t>Crushing Circuit</t>
        </is>
      </c>
      <c r="R11">
        <f>SUMPRODUCT(((F_Year="All")+(F_Year="")+(tblIncidents[Year]=F_Year))*((F_Month="All")+(F_Month="")+(tblIncidents[MonthName]=F_Month))*((F_Dept="All")+(F_Dept="")+(tblIncidents[Department]=F_Dept))*(tblIncidents[Area]=$Q11))</f>
        <v/>
      </c>
      <c r="W11">
        <f>SUMPRODUCT(((F_Dept="All")+(F_Dept="")+(tblActivity[Department]=F_Dept))*((F_Loc="All")+(F_Loc="")+(tblActivity[Area]=F_Loc))*(tblActivity[Year]=$B11)*(tblActivity[MonthName]=$C11)*tblActivity[InspPlanned])</f>
        <v/>
      </c>
      <c r="X11" s="56">
        <f>IFERROR(J11/W11,0)</f>
        <v/>
      </c>
      <c r="Y11">
        <f>SUMPRODUCT(((F_Dept="All")+(F_Dept="")+(tblActivity[Department]=F_Dept))*((F_Loc="All")+(F_Loc="")+(tblActivity[Area]=F_Loc))*(tblActivity[Year]=$B11)*(tblActivity[MonthName]=$C11)*tblActivity[TrainAssigned])</f>
        <v/>
      </c>
      <c r="Z11" s="56">
        <f>IFERROR(K11/Y11,0)</f>
        <v/>
      </c>
    </row>
    <row r="12">
      <c r="A12">
        <f>C12&amp;"-"&amp;RIGHT(B12,2)</f>
        <v/>
      </c>
      <c r="B12" t="n">
        <v>2024</v>
      </c>
      <c r="C12" t="inlineStr">
        <is>
          <t>Dec</t>
        </is>
      </c>
      <c r="D12">
        <f>SUMPRODUCT(((F_Dept="All")+(F_Dept="")+(tblIncidents[Department]=F_Dept))*((F_Loc="All")+(F_Loc="")+(tblIncidents[Area]=F_Loc))*(tblIncidents[Year]=$B12)*(tblIncidents[MonthName]=$C12))</f>
        <v/>
      </c>
      <c r="E12">
        <f>SUMPRODUCT(((F_Dept="All")+(F_Dept="")+(tblIncidents[Department]=F_Dept))*((F_Loc="All")+(F_Loc="")+(tblIncidents[Area]=F_Loc))*(tblIncidents[Year]=$B12)*(tblIncidents[MonthName]=$C12)*tblIncidents[Recordable])</f>
        <v/>
      </c>
      <c r="F12">
        <f>SUMPRODUCT(((F_Dept="All")+(F_Dept="")+(tblActivity[Department]=F_Dept))*((F_Loc="All")+(F_Loc="")+(tblActivity[Area]=F_Loc))*(tblActivity[Year]=$B12)*(tblActivity[MonthName]=$C12)*tblActivity[NearMisses])</f>
        <v/>
      </c>
      <c r="G12" s="56">
        <f>IFERROR(SUMPRODUCT(((F_Dept="All")+(F_Dept="")+(tblActivity[Department]=F_Dept))*((F_Loc="All")+(F_Loc="")+(tblActivity[Area]=F_Loc))*(tblActivity[Year]=$B12)*(tblActivity[MonthName]=$C12)*tblActivity[InspDone]*tblActivity[InspScore])/SUMPRODUCT(((F_Dept="All")+(F_Dept="")+(tblActivity[Department]=F_Dept))*((F_Loc="All")+(F_Loc="")+(tblActivity[Area]=F_Loc))*(tblActivity[Year]=$B12)*(tblActivity[MonthName]=$C12)*tblActivity[InspDone]),"")</f>
        <v/>
      </c>
      <c r="H12">
        <f>SUMPRODUCT(((F_Dept="All")+(F_Dept="")+(tblActivity[Department]=F_Dept))*((F_Loc="All")+(F_Loc="")+(tblActivity[Area]=F_Loc))*(tblActivity[Year]=$B12)*(tblActivity[MonthName]=$C12)*tblActivity[ManHours])</f>
        <v/>
      </c>
      <c r="I12" s="66">
        <f>IF(H12=0,0,E12/H12*RATE_BASE)</f>
        <v/>
      </c>
      <c r="J12">
        <f>SUMPRODUCT(((F_Dept="All")+(F_Dept="")+(tblActivity[Department]=F_Dept))*((F_Loc="All")+(F_Loc="")+(tblActivity[Area]=F_Loc))*(tblActivity[Year]=$B12)*(tblActivity[MonthName]=$C12)*tblActivity[InspDone])</f>
        <v/>
      </c>
      <c r="K12">
        <f>SUMPRODUCT(((F_Dept="All")+(F_Dept="")+(tblActivity[Department]=F_Dept))*((F_Loc="All")+(F_Loc="")+(tblActivity[Area]=F_Loc))*(tblActivity[Year]=$B12)*(tblActivity[MonthName]=$C12)*tblActivity[TrainCompleted])</f>
        <v/>
      </c>
      <c r="L12">
        <f>SUMPRODUCT(((F_Dept="All")+(F_Dept="")+(tblActivity[Department]=F_Dept))*((F_Loc="All")+(F_Loc="")+(tblActivity[Area]=F_Loc))*(tblActivity[Year]=$B12)*(tblActivity[MonthName]=$C12)*tblActivity[ObsRaised])</f>
        <v/>
      </c>
      <c r="N12" t="inlineStr">
        <is>
          <t>Other</t>
        </is>
      </c>
      <c r="O12">
        <f>SUMPRODUCT(((F_Year="All")+(F_Year="")+(tblIncidents[Year]=F_Year))*((F_Month="All")+(F_Month="")+(tblIncidents[MonthName]=F_Month))*((F_Dept="All")+(F_Dept="")+(tblIncidents[Department]=F_Dept))*((F_Loc="All")+(F_Loc="")+(tblIncidents[Area]=F_Loc))*(tblIncidents[Type]=$N12))</f>
        <v/>
      </c>
      <c r="Q12" t="inlineStr">
        <is>
          <t>Processing Plant (CIL)</t>
        </is>
      </c>
      <c r="R12">
        <f>SUMPRODUCT(((F_Year="All")+(F_Year="")+(tblIncidents[Year]=F_Year))*((F_Month="All")+(F_Month="")+(tblIncidents[MonthName]=F_Month))*((F_Dept="All")+(F_Dept="")+(tblIncidents[Department]=F_Dept))*(tblIncidents[Area]=$Q12))</f>
        <v/>
      </c>
      <c r="W12">
        <f>SUMPRODUCT(((F_Dept="All")+(F_Dept="")+(tblActivity[Department]=F_Dept))*((F_Loc="All")+(F_Loc="")+(tblActivity[Area]=F_Loc))*(tblActivity[Year]=$B12)*(tblActivity[MonthName]=$C12)*tblActivity[InspPlanned])</f>
        <v/>
      </c>
      <c r="X12" s="56">
        <f>IFERROR(J12/W12,0)</f>
        <v/>
      </c>
      <c r="Y12">
        <f>SUMPRODUCT(((F_Dept="All")+(F_Dept="")+(tblActivity[Department]=F_Dept))*((F_Loc="All")+(F_Loc="")+(tblActivity[Area]=F_Loc))*(tblActivity[Year]=$B12)*(tblActivity[MonthName]=$C12)*tblActivity[TrainAssigned])</f>
        <v/>
      </c>
      <c r="Z12" s="56">
        <f>IFERROR(K12/Y12,0)</f>
        <v/>
      </c>
    </row>
    <row r="13">
      <c r="A13">
        <f>C13&amp;"-"&amp;RIGHT(B13,2)</f>
        <v/>
      </c>
      <c r="B13" t="n">
        <v>2025</v>
      </c>
      <c r="C13" t="inlineStr">
        <is>
          <t>Jan</t>
        </is>
      </c>
      <c r="D13">
        <f>SUMPRODUCT(((F_Dept="All")+(F_Dept="")+(tblIncidents[Department]=F_Dept))*((F_Loc="All")+(F_Loc="")+(tblIncidents[Area]=F_Loc))*(tblIncidents[Year]=$B13)*(tblIncidents[MonthName]=$C13))</f>
        <v/>
      </c>
      <c r="E13">
        <f>SUMPRODUCT(((F_Dept="All")+(F_Dept="")+(tblIncidents[Department]=F_Dept))*((F_Loc="All")+(F_Loc="")+(tblIncidents[Area]=F_Loc))*(tblIncidents[Year]=$B13)*(tblIncidents[MonthName]=$C13)*tblIncidents[Recordable])</f>
        <v/>
      </c>
      <c r="F13">
        <f>SUMPRODUCT(((F_Dept="All")+(F_Dept="")+(tblActivity[Department]=F_Dept))*((F_Loc="All")+(F_Loc="")+(tblActivity[Area]=F_Loc))*(tblActivity[Year]=$B13)*(tblActivity[MonthName]=$C13)*tblActivity[NearMisses])</f>
        <v/>
      </c>
      <c r="G13" s="56">
        <f>IFERROR(SUMPRODUCT(((F_Dept="All")+(F_Dept="")+(tblActivity[Department]=F_Dept))*((F_Loc="All")+(F_Loc="")+(tblActivity[Area]=F_Loc))*(tblActivity[Year]=$B13)*(tblActivity[MonthName]=$C13)*tblActivity[InspDone]*tblActivity[InspScore])/SUMPRODUCT(((F_Dept="All")+(F_Dept="")+(tblActivity[Department]=F_Dept))*((F_Loc="All")+(F_Loc="")+(tblActivity[Area]=F_Loc))*(tblActivity[Year]=$B13)*(tblActivity[MonthName]=$C13)*tblActivity[InspDone]),"")</f>
        <v/>
      </c>
      <c r="H13">
        <f>SUMPRODUCT(((F_Dept="All")+(F_Dept="")+(tblActivity[Department]=F_Dept))*((F_Loc="All")+(F_Loc="")+(tblActivity[Area]=F_Loc))*(tblActivity[Year]=$B13)*(tblActivity[MonthName]=$C13)*tblActivity[ManHours])</f>
        <v/>
      </c>
      <c r="I13" s="66">
        <f>IF(H13=0,0,E13/H13*RATE_BASE)</f>
        <v/>
      </c>
      <c r="J13">
        <f>SUMPRODUCT(((F_Dept="All")+(F_Dept="")+(tblActivity[Department]=F_Dept))*((F_Loc="All")+(F_Loc="")+(tblActivity[Area]=F_Loc))*(tblActivity[Year]=$B13)*(tblActivity[MonthName]=$C13)*tblActivity[InspDone])</f>
        <v/>
      </c>
      <c r="K13">
        <f>SUMPRODUCT(((F_Dept="All")+(F_Dept="")+(tblActivity[Department]=F_Dept))*((F_Loc="All")+(F_Loc="")+(tblActivity[Area]=F_Loc))*(tblActivity[Year]=$B13)*(tblActivity[MonthName]=$C13)*tblActivity[TrainCompleted])</f>
        <v/>
      </c>
      <c r="L13">
        <f>SUMPRODUCT(((F_Dept="All")+(F_Dept="")+(tblActivity[Department]=F_Dept))*((F_Loc="All")+(F_Loc="")+(tblActivity[Area]=F_Loc))*(tblActivity[Year]=$B13)*(tblActivity[MonthName]=$C13)*tblActivity[ObsRaised])</f>
        <v/>
      </c>
      <c r="Q13" t="inlineStr">
        <is>
          <t>Elution &amp; Gold Room</t>
        </is>
      </c>
      <c r="R13">
        <f>SUMPRODUCT(((F_Year="All")+(F_Year="")+(tblIncidents[Year]=F_Year))*((F_Month="All")+(F_Month="")+(tblIncidents[MonthName]=F_Month))*((F_Dept="All")+(F_Dept="")+(tblIncidents[Department]=F_Dept))*(tblIncidents[Area]=$Q13))</f>
        <v/>
      </c>
      <c r="W13">
        <f>SUMPRODUCT(((F_Dept="All")+(F_Dept="")+(tblActivity[Department]=F_Dept))*((F_Loc="All")+(F_Loc="")+(tblActivity[Area]=F_Loc))*(tblActivity[Year]=$B13)*(tblActivity[MonthName]=$C13)*tblActivity[InspPlanned])</f>
        <v/>
      </c>
      <c r="X13" s="56">
        <f>IFERROR(J13/W13,0)</f>
        <v/>
      </c>
      <c r="Y13">
        <f>SUMPRODUCT(((F_Dept="All")+(F_Dept="")+(tblActivity[Department]=F_Dept))*((F_Loc="All")+(F_Loc="")+(tblActivity[Area]=F_Loc))*(tblActivity[Year]=$B13)*(tblActivity[MonthName]=$C13)*tblActivity[TrainAssigned])</f>
        <v/>
      </c>
      <c r="Z13" s="56">
        <f>IFERROR(K13/Y13,0)</f>
        <v/>
      </c>
    </row>
    <row r="14">
      <c r="A14">
        <f>C14&amp;"-"&amp;RIGHT(B14,2)</f>
        <v/>
      </c>
      <c r="B14" t="n">
        <v>2025</v>
      </c>
      <c r="C14" t="inlineStr">
        <is>
          <t>Feb</t>
        </is>
      </c>
      <c r="D14">
        <f>SUMPRODUCT(((F_Dept="All")+(F_Dept="")+(tblIncidents[Department]=F_Dept))*((F_Loc="All")+(F_Loc="")+(tblIncidents[Area]=F_Loc))*(tblIncidents[Year]=$B14)*(tblIncidents[MonthName]=$C14))</f>
        <v/>
      </c>
      <c r="E14">
        <f>SUMPRODUCT(((F_Dept="All")+(F_Dept="")+(tblIncidents[Department]=F_Dept))*((F_Loc="All")+(F_Loc="")+(tblIncidents[Area]=F_Loc))*(tblIncidents[Year]=$B14)*(tblIncidents[MonthName]=$C14)*tblIncidents[Recordable])</f>
        <v/>
      </c>
      <c r="F14">
        <f>SUMPRODUCT(((F_Dept="All")+(F_Dept="")+(tblActivity[Department]=F_Dept))*((F_Loc="All")+(F_Loc="")+(tblActivity[Area]=F_Loc))*(tblActivity[Year]=$B14)*(tblActivity[MonthName]=$C14)*tblActivity[NearMisses])</f>
        <v/>
      </c>
      <c r="G14" s="56">
        <f>IFERROR(SUMPRODUCT(((F_Dept="All")+(F_Dept="")+(tblActivity[Department]=F_Dept))*((F_Loc="All")+(F_Loc="")+(tblActivity[Area]=F_Loc))*(tblActivity[Year]=$B14)*(tblActivity[MonthName]=$C14)*tblActivity[InspDone]*tblActivity[InspScore])/SUMPRODUCT(((F_Dept="All")+(F_Dept="")+(tblActivity[Department]=F_Dept))*((F_Loc="All")+(F_Loc="")+(tblActivity[Area]=F_Loc))*(tblActivity[Year]=$B14)*(tblActivity[MonthName]=$C14)*tblActivity[InspDone]),"")</f>
        <v/>
      </c>
      <c r="H14">
        <f>SUMPRODUCT(((F_Dept="All")+(F_Dept="")+(tblActivity[Department]=F_Dept))*((F_Loc="All")+(F_Loc="")+(tblActivity[Area]=F_Loc))*(tblActivity[Year]=$B14)*(tblActivity[MonthName]=$C14)*tblActivity[ManHours])</f>
        <v/>
      </c>
      <c r="I14" s="66">
        <f>IF(H14=0,0,E14/H14*RATE_BASE)</f>
        <v/>
      </c>
      <c r="J14">
        <f>SUMPRODUCT(((F_Dept="All")+(F_Dept="")+(tblActivity[Department]=F_Dept))*((F_Loc="All")+(F_Loc="")+(tblActivity[Area]=F_Loc))*(tblActivity[Year]=$B14)*(tblActivity[MonthName]=$C14)*tblActivity[InspDone])</f>
        <v/>
      </c>
      <c r="K14">
        <f>SUMPRODUCT(((F_Dept="All")+(F_Dept="")+(tblActivity[Department]=F_Dept))*((F_Loc="All")+(F_Loc="")+(tblActivity[Area]=F_Loc))*(tblActivity[Year]=$B14)*(tblActivity[MonthName]=$C14)*tblActivity[TrainCompleted])</f>
        <v/>
      </c>
      <c r="L14">
        <f>SUMPRODUCT(((F_Dept="All")+(F_Dept="")+(tblActivity[Department]=F_Dept))*((F_Loc="All")+(F_Loc="")+(tblActivity[Area]=F_Loc))*(tblActivity[Year]=$B14)*(tblActivity[MonthName]=$C14)*tblActivity[ObsRaised])</f>
        <v/>
      </c>
      <c r="Q14" t="inlineStr">
        <is>
          <t>Tailings Storage Facility</t>
        </is>
      </c>
      <c r="R14">
        <f>SUMPRODUCT(((F_Year="All")+(F_Year="")+(tblIncidents[Year]=F_Year))*((F_Month="All")+(F_Month="")+(tblIncidents[MonthName]=F_Month))*((F_Dept="All")+(F_Dept="")+(tblIncidents[Department]=F_Dept))*(tblIncidents[Area]=$Q14))</f>
        <v/>
      </c>
      <c r="W14">
        <f>SUMPRODUCT(((F_Dept="All")+(F_Dept="")+(tblActivity[Department]=F_Dept))*((F_Loc="All")+(F_Loc="")+(tblActivity[Area]=F_Loc))*(tblActivity[Year]=$B14)*(tblActivity[MonthName]=$C14)*tblActivity[InspPlanned])</f>
        <v/>
      </c>
      <c r="X14" s="56">
        <f>IFERROR(J14/W14,0)</f>
        <v/>
      </c>
      <c r="Y14">
        <f>SUMPRODUCT(((F_Dept="All")+(F_Dept="")+(tblActivity[Department]=F_Dept))*((F_Loc="All")+(F_Loc="")+(tblActivity[Area]=F_Loc))*(tblActivity[Year]=$B14)*(tblActivity[MonthName]=$C14)*tblActivity[TrainAssigned])</f>
        <v/>
      </c>
      <c r="Z14" s="56">
        <f>IFERROR(K14/Y14,0)</f>
        <v/>
      </c>
    </row>
    <row r="15">
      <c r="A15">
        <f>C15&amp;"-"&amp;RIGHT(B15,2)</f>
        <v/>
      </c>
      <c r="B15" t="n">
        <v>2025</v>
      </c>
      <c r="C15" t="inlineStr">
        <is>
          <t>Mar</t>
        </is>
      </c>
      <c r="D15">
        <f>SUMPRODUCT(((F_Dept="All")+(F_Dept="")+(tblIncidents[Department]=F_Dept))*((F_Loc="All")+(F_Loc="")+(tblIncidents[Area]=F_Loc))*(tblIncidents[Year]=$B15)*(tblIncidents[MonthName]=$C15))</f>
        <v/>
      </c>
      <c r="E15">
        <f>SUMPRODUCT(((F_Dept="All")+(F_Dept="")+(tblIncidents[Department]=F_Dept))*((F_Loc="All")+(F_Loc="")+(tblIncidents[Area]=F_Loc))*(tblIncidents[Year]=$B15)*(tblIncidents[MonthName]=$C15)*tblIncidents[Recordable])</f>
        <v/>
      </c>
      <c r="F15">
        <f>SUMPRODUCT(((F_Dept="All")+(F_Dept="")+(tblActivity[Department]=F_Dept))*((F_Loc="All")+(F_Loc="")+(tblActivity[Area]=F_Loc))*(tblActivity[Year]=$B15)*(tblActivity[MonthName]=$C15)*tblActivity[NearMisses])</f>
        <v/>
      </c>
      <c r="G15" s="56">
        <f>IFERROR(SUMPRODUCT(((F_Dept="All")+(F_Dept="")+(tblActivity[Department]=F_Dept))*((F_Loc="All")+(F_Loc="")+(tblActivity[Area]=F_Loc))*(tblActivity[Year]=$B15)*(tblActivity[MonthName]=$C15)*tblActivity[InspDone]*tblActivity[InspScore])/SUMPRODUCT(((F_Dept="All")+(F_Dept="")+(tblActivity[Department]=F_Dept))*((F_Loc="All")+(F_Loc="")+(tblActivity[Area]=F_Loc))*(tblActivity[Year]=$B15)*(tblActivity[MonthName]=$C15)*tblActivity[InspDone]),"")</f>
        <v/>
      </c>
      <c r="H15">
        <f>SUMPRODUCT(((F_Dept="All")+(F_Dept="")+(tblActivity[Department]=F_Dept))*((F_Loc="All")+(F_Loc="")+(tblActivity[Area]=F_Loc))*(tblActivity[Year]=$B15)*(tblActivity[MonthName]=$C15)*tblActivity[ManHours])</f>
        <v/>
      </c>
      <c r="I15" s="66">
        <f>IF(H15=0,0,E15/H15*RATE_BASE)</f>
        <v/>
      </c>
      <c r="J15">
        <f>SUMPRODUCT(((F_Dept="All")+(F_Dept="")+(tblActivity[Department]=F_Dept))*((F_Loc="All")+(F_Loc="")+(tblActivity[Area]=F_Loc))*(tblActivity[Year]=$B15)*(tblActivity[MonthName]=$C15)*tblActivity[InspDone])</f>
        <v/>
      </c>
      <c r="K15">
        <f>SUMPRODUCT(((F_Dept="All")+(F_Dept="")+(tblActivity[Department]=F_Dept))*((F_Loc="All")+(F_Loc="")+(tblActivity[Area]=F_Loc))*(tblActivity[Year]=$B15)*(tblActivity[MonthName]=$C15)*tblActivity[TrainCompleted])</f>
        <v/>
      </c>
      <c r="L15">
        <f>SUMPRODUCT(((F_Dept="All")+(F_Dept="")+(tblActivity[Department]=F_Dept))*((F_Loc="All")+(F_Loc="")+(tblActivity[Area]=F_Loc))*(tblActivity[Year]=$B15)*(tblActivity[MonthName]=$C15)*tblActivity[ObsRaised])</f>
        <v/>
      </c>
      <c r="Q15" t="inlineStr">
        <is>
          <t>Water Treatment</t>
        </is>
      </c>
      <c r="R15">
        <f>SUMPRODUCT(((F_Year="All")+(F_Year="")+(tblIncidents[Year]=F_Year))*((F_Month="All")+(F_Month="")+(tblIncidents[MonthName]=F_Month))*((F_Dept="All")+(F_Dept="")+(tblIncidents[Department]=F_Dept))*(tblIncidents[Area]=$Q15))</f>
        <v/>
      </c>
      <c r="W15">
        <f>SUMPRODUCT(((F_Dept="All")+(F_Dept="")+(tblActivity[Department]=F_Dept))*((F_Loc="All")+(F_Loc="")+(tblActivity[Area]=F_Loc))*(tblActivity[Year]=$B15)*(tblActivity[MonthName]=$C15)*tblActivity[InspPlanned])</f>
        <v/>
      </c>
      <c r="X15" s="56">
        <f>IFERROR(J15/W15,0)</f>
        <v/>
      </c>
      <c r="Y15">
        <f>SUMPRODUCT(((F_Dept="All")+(F_Dept="")+(tblActivity[Department]=F_Dept))*((F_Loc="All")+(F_Loc="")+(tblActivity[Area]=F_Loc))*(tblActivity[Year]=$B15)*(tblActivity[MonthName]=$C15)*tblActivity[TrainAssigned])</f>
        <v/>
      </c>
      <c r="Z15" s="56">
        <f>IFERROR(K15/Y15,0)</f>
        <v/>
      </c>
    </row>
    <row r="16">
      <c r="A16">
        <f>C16&amp;"-"&amp;RIGHT(B16,2)</f>
        <v/>
      </c>
      <c r="B16" t="n">
        <v>2025</v>
      </c>
      <c r="C16" t="inlineStr">
        <is>
          <t>Apr</t>
        </is>
      </c>
      <c r="D16">
        <f>SUMPRODUCT(((F_Dept="All")+(F_Dept="")+(tblIncidents[Department]=F_Dept))*((F_Loc="All")+(F_Loc="")+(tblIncidents[Area]=F_Loc))*(tblIncidents[Year]=$B16)*(tblIncidents[MonthName]=$C16))</f>
        <v/>
      </c>
      <c r="E16">
        <f>SUMPRODUCT(((F_Dept="All")+(F_Dept="")+(tblIncidents[Department]=F_Dept))*((F_Loc="All")+(F_Loc="")+(tblIncidents[Area]=F_Loc))*(tblIncidents[Year]=$B16)*(tblIncidents[MonthName]=$C16)*tblIncidents[Recordable])</f>
        <v/>
      </c>
      <c r="F16">
        <f>SUMPRODUCT(((F_Dept="All")+(F_Dept="")+(tblActivity[Department]=F_Dept))*((F_Loc="All")+(F_Loc="")+(tblActivity[Area]=F_Loc))*(tblActivity[Year]=$B16)*(tblActivity[MonthName]=$C16)*tblActivity[NearMisses])</f>
        <v/>
      </c>
      <c r="G16" s="56">
        <f>IFERROR(SUMPRODUCT(((F_Dept="All")+(F_Dept="")+(tblActivity[Department]=F_Dept))*((F_Loc="All")+(F_Loc="")+(tblActivity[Area]=F_Loc))*(tblActivity[Year]=$B16)*(tblActivity[MonthName]=$C16)*tblActivity[InspDone]*tblActivity[InspScore])/SUMPRODUCT(((F_Dept="All")+(F_Dept="")+(tblActivity[Department]=F_Dept))*((F_Loc="All")+(F_Loc="")+(tblActivity[Area]=F_Loc))*(tblActivity[Year]=$B16)*(tblActivity[MonthName]=$C16)*tblActivity[InspDone]),"")</f>
        <v/>
      </c>
      <c r="H16">
        <f>SUMPRODUCT(((F_Dept="All")+(F_Dept="")+(tblActivity[Department]=F_Dept))*((F_Loc="All")+(F_Loc="")+(tblActivity[Area]=F_Loc))*(tblActivity[Year]=$B16)*(tblActivity[MonthName]=$C16)*tblActivity[ManHours])</f>
        <v/>
      </c>
      <c r="I16" s="66">
        <f>IF(H16=0,0,E16/H16*RATE_BASE)</f>
        <v/>
      </c>
      <c r="J16">
        <f>SUMPRODUCT(((F_Dept="All")+(F_Dept="")+(tblActivity[Department]=F_Dept))*((F_Loc="All")+(F_Loc="")+(tblActivity[Area]=F_Loc))*(tblActivity[Year]=$B16)*(tblActivity[MonthName]=$C16)*tblActivity[InspDone])</f>
        <v/>
      </c>
      <c r="K16">
        <f>SUMPRODUCT(((F_Dept="All")+(F_Dept="")+(tblActivity[Department]=F_Dept))*((F_Loc="All")+(F_Loc="")+(tblActivity[Area]=F_Loc))*(tblActivity[Year]=$B16)*(tblActivity[MonthName]=$C16)*tblActivity[TrainCompleted])</f>
        <v/>
      </c>
      <c r="L16">
        <f>SUMPRODUCT(((F_Dept="All")+(F_Dept="")+(tblActivity[Department]=F_Dept))*((F_Loc="All")+(F_Loc="")+(tblActivity[Area]=F_Loc))*(tblActivity[Year]=$B16)*(tblActivity[MonthName]=$C16)*tblActivity[ObsRaised])</f>
        <v/>
      </c>
      <c r="Q16" t="inlineStr">
        <is>
          <t>Assay Laboratory</t>
        </is>
      </c>
      <c r="R16">
        <f>SUMPRODUCT(((F_Year="All")+(F_Year="")+(tblIncidents[Year]=F_Year))*((F_Month="All")+(F_Month="")+(tblIncidents[MonthName]=F_Month))*((F_Dept="All")+(F_Dept="")+(tblIncidents[Department]=F_Dept))*(tblIncidents[Area]=$Q16))</f>
        <v/>
      </c>
      <c r="W16">
        <f>SUMPRODUCT(((F_Dept="All")+(F_Dept="")+(tblActivity[Department]=F_Dept))*((F_Loc="All")+(F_Loc="")+(tblActivity[Area]=F_Loc))*(tblActivity[Year]=$B16)*(tblActivity[MonthName]=$C16)*tblActivity[InspPlanned])</f>
        <v/>
      </c>
      <c r="X16" s="56">
        <f>IFERROR(J16/W16,0)</f>
        <v/>
      </c>
      <c r="Y16">
        <f>SUMPRODUCT(((F_Dept="All")+(F_Dept="")+(tblActivity[Department]=F_Dept))*((F_Loc="All")+(F_Loc="")+(tblActivity[Area]=F_Loc))*(tblActivity[Year]=$B16)*(tblActivity[MonthName]=$C16)*tblActivity[TrainAssigned])</f>
        <v/>
      </c>
      <c r="Z16" s="56">
        <f>IFERROR(K16/Y16,0)</f>
        <v/>
      </c>
    </row>
    <row r="17">
      <c r="A17">
        <f>C17&amp;"-"&amp;RIGHT(B17,2)</f>
        <v/>
      </c>
      <c r="B17" t="n">
        <v>2025</v>
      </c>
      <c r="C17" t="inlineStr">
        <is>
          <t>May</t>
        </is>
      </c>
      <c r="D17">
        <f>SUMPRODUCT(((F_Dept="All")+(F_Dept="")+(tblIncidents[Department]=F_Dept))*((F_Loc="All")+(F_Loc="")+(tblIncidents[Area]=F_Loc))*(tblIncidents[Year]=$B17)*(tblIncidents[MonthName]=$C17))</f>
        <v/>
      </c>
      <c r="E17">
        <f>SUMPRODUCT(((F_Dept="All")+(F_Dept="")+(tblIncidents[Department]=F_Dept))*((F_Loc="All")+(F_Loc="")+(tblIncidents[Area]=F_Loc))*(tblIncidents[Year]=$B17)*(tblIncidents[MonthName]=$C17)*tblIncidents[Recordable])</f>
        <v/>
      </c>
      <c r="F17">
        <f>SUMPRODUCT(((F_Dept="All")+(F_Dept="")+(tblActivity[Department]=F_Dept))*((F_Loc="All")+(F_Loc="")+(tblActivity[Area]=F_Loc))*(tblActivity[Year]=$B17)*(tblActivity[MonthName]=$C17)*tblActivity[NearMisses])</f>
        <v/>
      </c>
      <c r="G17" s="56">
        <f>IFERROR(SUMPRODUCT(((F_Dept="All")+(F_Dept="")+(tblActivity[Department]=F_Dept))*((F_Loc="All")+(F_Loc="")+(tblActivity[Area]=F_Loc))*(tblActivity[Year]=$B17)*(tblActivity[MonthName]=$C17)*tblActivity[InspDone]*tblActivity[InspScore])/SUMPRODUCT(((F_Dept="All")+(F_Dept="")+(tblActivity[Department]=F_Dept))*((F_Loc="All")+(F_Loc="")+(tblActivity[Area]=F_Loc))*(tblActivity[Year]=$B17)*(tblActivity[MonthName]=$C17)*tblActivity[InspDone]),"")</f>
        <v/>
      </c>
      <c r="H17">
        <f>SUMPRODUCT(((F_Dept="All")+(F_Dept="")+(tblActivity[Department]=F_Dept))*((F_Loc="All")+(F_Loc="")+(tblActivity[Area]=F_Loc))*(tblActivity[Year]=$B17)*(tblActivity[MonthName]=$C17)*tblActivity[ManHours])</f>
        <v/>
      </c>
      <c r="I17" s="66">
        <f>IF(H17=0,0,E17/H17*RATE_BASE)</f>
        <v/>
      </c>
      <c r="J17">
        <f>SUMPRODUCT(((F_Dept="All")+(F_Dept="")+(tblActivity[Department]=F_Dept))*((F_Loc="All")+(F_Loc="")+(tblActivity[Area]=F_Loc))*(tblActivity[Year]=$B17)*(tblActivity[MonthName]=$C17)*tblActivity[InspDone])</f>
        <v/>
      </c>
      <c r="K17">
        <f>SUMPRODUCT(((F_Dept="All")+(F_Dept="")+(tblActivity[Department]=F_Dept))*((F_Loc="All")+(F_Loc="")+(tblActivity[Area]=F_Loc))*(tblActivity[Year]=$B17)*(tblActivity[MonthName]=$C17)*tblActivity[TrainCompleted])</f>
        <v/>
      </c>
      <c r="L17">
        <f>SUMPRODUCT(((F_Dept="All")+(F_Dept="")+(tblActivity[Department]=F_Dept))*((F_Loc="All")+(F_Loc="")+(tblActivity[Area]=F_Loc))*(tblActivity[Year]=$B17)*(tblActivity[MonthName]=$C17)*tblActivity[ObsRaised])</f>
        <v/>
      </c>
      <c r="Q17" t="inlineStr">
        <is>
          <t>HME Workshop</t>
        </is>
      </c>
      <c r="R17">
        <f>SUMPRODUCT(((F_Year="All")+(F_Year="")+(tblIncidents[Year]=F_Year))*((F_Month="All")+(F_Month="")+(tblIncidents[MonthName]=F_Month))*((F_Dept="All")+(F_Dept="")+(tblIncidents[Department]=F_Dept))*(tblIncidents[Area]=$Q17))</f>
        <v/>
      </c>
      <c r="W17">
        <f>SUMPRODUCT(((F_Dept="All")+(F_Dept="")+(tblActivity[Department]=F_Dept))*((F_Loc="All")+(F_Loc="")+(tblActivity[Area]=F_Loc))*(tblActivity[Year]=$B17)*(tblActivity[MonthName]=$C17)*tblActivity[InspPlanned])</f>
        <v/>
      </c>
      <c r="X17" s="56">
        <f>IFERROR(J17/W17,0)</f>
        <v/>
      </c>
      <c r="Y17">
        <f>SUMPRODUCT(((F_Dept="All")+(F_Dept="")+(tblActivity[Department]=F_Dept))*((F_Loc="All")+(F_Loc="")+(tblActivity[Area]=F_Loc))*(tblActivity[Year]=$B17)*(tblActivity[MonthName]=$C17)*tblActivity[TrainAssigned])</f>
        <v/>
      </c>
      <c r="Z17" s="56">
        <f>IFERROR(K17/Y17,0)</f>
        <v/>
      </c>
    </row>
    <row r="18">
      <c r="A18">
        <f>C18&amp;"-"&amp;RIGHT(B18,2)</f>
        <v/>
      </c>
      <c r="B18" t="n">
        <v>2025</v>
      </c>
      <c r="C18" t="inlineStr">
        <is>
          <t>Jun</t>
        </is>
      </c>
      <c r="D18">
        <f>SUMPRODUCT(((F_Dept="All")+(F_Dept="")+(tblIncidents[Department]=F_Dept))*((F_Loc="All")+(F_Loc="")+(tblIncidents[Area]=F_Loc))*(tblIncidents[Year]=$B18)*(tblIncidents[MonthName]=$C18))</f>
        <v/>
      </c>
      <c r="E18">
        <f>SUMPRODUCT(((F_Dept="All")+(F_Dept="")+(tblIncidents[Department]=F_Dept))*((F_Loc="All")+(F_Loc="")+(tblIncidents[Area]=F_Loc))*(tblIncidents[Year]=$B18)*(tblIncidents[MonthName]=$C18)*tblIncidents[Recordable])</f>
        <v/>
      </c>
      <c r="F18">
        <f>SUMPRODUCT(((F_Dept="All")+(F_Dept="")+(tblActivity[Department]=F_Dept))*((F_Loc="All")+(F_Loc="")+(tblActivity[Area]=F_Loc))*(tblActivity[Year]=$B18)*(tblActivity[MonthName]=$C18)*tblActivity[NearMisses])</f>
        <v/>
      </c>
      <c r="G18" s="56">
        <f>IFERROR(SUMPRODUCT(((F_Dept="All")+(F_Dept="")+(tblActivity[Department]=F_Dept))*((F_Loc="All")+(F_Loc="")+(tblActivity[Area]=F_Loc))*(tblActivity[Year]=$B18)*(tblActivity[MonthName]=$C18)*tblActivity[InspDone]*tblActivity[InspScore])/SUMPRODUCT(((F_Dept="All")+(F_Dept="")+(tblActivity[Department]=F_Dept))*((F_Loc="All")+(F_Loc="")+(tblActivity[Area]=F_Loc))*(tblActivity[Year]=$B18)*(tblActivity[MonthName]=$C18)*tblActivity[InspDone]),"")</f>
        <v/>
      </c>
      <c r="H18">
        <f>SUMPRODUCT(((F_Dept="All")+(F_Dept="")+(tblActivity[Department]=F_Dept))*((F_Loc="All")+(F_Loc="")+(tblActivity[Area]=F_Loc))*(tblActivity[Year]=$B18)*(tblActivity[MonthName]=$C18)*tblActivity[ManHours])</f>
        <v/>
      </c>
      <c r="I18" s="66">
        <f>IF(H18=0,0,E18/H18*RATE_BASE)</f>
        <v/>
      </c>
      <c r="J18">
        <f>SUMPRODUCT(((F_Dept="All")+(F_Dept="")+(tblActivity[Department]=F_Dept))*((F_Loc="All")+(F_Loc="")+(tblActivity[Area]=F_Loc))*(tblActivity[Year]=$B18)*(tblActivity[MonthName]=$C18)*tblActivity[InspDone])</f>
        <v/>
      </c>
      <c r="K18">
        <f>SUMPRODUCT(((F_Dept="All")+(F_Dept="")+(tblActivity[Department]=F_Dept))*((F_Loc="All")+(F_Loc="")+(tblActivity[Area]=F_Loc))*(tblActivity[Year]=$B18)*(tblActivity[MonthName]=$C18)*tblActivity[TrainCompleted])</f>
        <v/>
      </c>
      <c r="L18">
        <f>SUMPRODUCT(((F_Dept="All")+(F_Dept="")+(tblActivity[Department]=F_Dept))*((F_Loc="All")+(F_Loc="")+(tblActivity[Area]=F_Loc))*(tblActivity[Year]=$B18)*(tblActivity[MonthName]=$C18)*tblActivity[ObsRaised])</f>
        <v/>
      </c>
      <c r="Q18" t="inlineStr">
        <is>
          <t>Fuel Farm</t>
        </is>
      </c>
      <c r="R18">
        <f>SUMPRODUCT(((F_Year="All")+(F_Year="")+(tblIncidents[Year]=F_Year))*((F_Month="All")+(F_Month="")+(tblIncidents[MonthName]=F_Month))*((F_Dept="All")+(F_Dept="")+(tblIncidents[Department]=F_Dept))*(tblIncidents[Area]=$Q18))</f>
        <v/>
      </c>
      <c r="W18">
        <f>SUMPRODUCT(((F_Dept="All")+(F_Dept="")+(tblActivity[Department]=F_Dept))*((F_Loc="All")+(F_Loc="")+(tblActivity[Area]=F_Loc))*(tblActivity[Year]=$B18)*(tblActivity[MonthName]=$C18)*tblActivity[InspPlanned])</f>
        <v/>
      </c>
      <c r="X18" s="56">
        <f>IFERROR(J18/W18,0)</f>
        <v/>
      </c>
      <c r="Y18">
        <f>SUMPRODUCT(((F_Dept="All")+(F_Dept="")+(tblActivity[Department]=F_Dept))*((F_Loc="All")+(F_Loc="")+(tblActivity[Area]=F_Loc))*(tblActivity[Year]=$B18)*(tblActivity[MonthName]=$C18)*tblActivity[TrainAssigned])</f>
        <v/>
      </c>
      <c r="Z18" s="56">
        <f>IFERROR(K18/Y18,0)</f>
        <v/>
      </c>
    </row>
    <row r="19">
      <c r="A19">
        <f>C19&amp;"-"&amp;RIGHT(B19,2)</f>
        <v/>
      </c>
      <c r="B19" t="n">
        <v>2025</v>
      </c>
      <c r="C19" t="inlineStr">
        <is>
          <t>Jul</t>
        </is>
      </c>
      <c r="D19">
        <f>SUMPRODUCT(((F_Dept="All")+(F_Dept="")+(tblIncidents[Department]=F_Dept))*((F_Loc="All")+(F_Loc="")+(tblIncidents[Area]=F_Loc))*(tblIncidents[Year]=$B19)*(tblIncidents[MonthName]=$C19))</f>
        <v/>
      </c>
      <c r="E19">
        <f>SUMPRODUCT(((F_Dept="All")+(F_Dept="")+(tblIncidents[Department]=F_Dept))*((F_Loc="All")+(F_Loc="")+(tblIncidents[Area]=F_Loc))*(tblIncidents[Year]=$B19)*(tblIncidents[MonthName]=$C19)*tblIncidents[Recordable])</f>
        <v/>
      </c>
      <c r="F19">
        <f>SUMPRODUCT(((F_Dept="All")+(F_Dept="")+(tblActivity[Department]=F_Dept))*((F_Loc="All")+(F_Loc="")+(tblActivity[Area]=F_Loc))*(tblActivity[Year]=$B19)*(tblActivity[MonthName]=$C19)*tblActivity[NearMisses])</f>
        <v/>
      </c>
      <c r="G19" s="56">
        <f>IFERROR(SUMPRODUCT(((F_Dept="All")+(F_Dept="")+(tblActivity[Department]=F_Dept))*((F_Loc="All")+(F_Loc="")+(tblActivity[Area]=F_Loc))*(tblActivity[Year]=$B19)*(tblActivity[MonthName]=$C19)*tblActivity[InspDone]*tblActivity[InspScore])/SUMPRODUCT(((F_Dept="All")+(F_Dept="")+(tblActivity[Department]=F_Dept))*((F_Loc="All")+(F_Loc="")+(tblActivity[Area]=F_Loc))*(tblActivity[Year]=$B19)*(tblActivity[MonthName]=$C19)*tblActivity[InspDone]),"")</f>
        <v/>
      </c>
      <c r="H19">
        <f>SUMPRODUCT(((F_Dept="All")+(F_Dept="")+(tblActivity[Department]=F_Dept))*((F_Loc="All")+(F_Loc="")+(tblActivity[Area]=F_Loc))*(tblActivity[Year]=$B19)*(tblActivity[MonthName]=$C19)*tblActivity[ManHours])</f>
        <v/>
      </c>
      <c r="I19" s="66">
        <f>IF(H19=0,0,E19/H19*RATE_BASE)</f>
        <v/>
      </c>
      <c r="J19">
        <f>SUMPRODUCT(((F_Dept="All")+(F_Dept="")+(tblActivity[Department]=F_Dept))*((F_Loc="All")+(F_Loc="")+(tblActivity[Area]=F_Loc))*(tblActivity[Year]=$B19)*(tblActivity[MonthName]=$C19)*tblActivity[InspDone])</f>
        <v/>
      </c>
      <c r="K19">
        <f>SUMPRODUCT(((F_Dept="All")+(F_Dept="")+(tblActivity[Department]=F_Dept))*((F_Loc="All")+(F_Loc="")+(tblActivity[Area]=F_Loc))*(tblActivity[Year]=$B19)*(tblActivity[MonthName]=$C19)*tblActivity[TrainCompleted])</f>
        <v/>
      </c>
      <c r="L19">
        <f>SUMPRODUCT(((F_Dept="All")+(F_Dept="")+(tblActivity[Department]=F_Dept))*((F_Loc="All")+(F_Loc="")+(tblActivity[Area]=F_Loc))*(tblActivity[Year]=$B19)*(tblActivity[MonthName]=$C19)*tblActivity[ObsRaised])</f>
        <v/>
      </c>
      <c r="Q19" t="inlineStr">
        <is>
          <t>Power Station</t>
        </is>
      </c>
      <c r="R19">
        <f>SUMPRODUCT(((F_Year="All")+(F_Year="")+(tblIncidents[Year]=F_Year))*((F_Month="All")+(F_Month="")+(tblIncidents[MonthName]=F_Month))*((F_Dept="All")+(F_Dept="")+(tblIncidents[Department]=F_Dept))*(tblIncidents[Area]=$Q19))</f>
        <v/>
      </c>
      <c r="W19">
        <f>SUMPRODUCT(((F_Dept="All")+(F_Dept="")+(tblActivity[Department]=F_Dept))*((F_Loc="All")+(F_Loc="")+(tblActivity[Area]=F_Loc))*(tblActivity[Year]=$B19)*(tblActivity[MonthName]=$C19)*tblActivity[InspPlanned])</f>
        <v/>
      </c>
      <c r="X19" s="56">
        <f>IFERROR(J19/W19,0)</f>
        <v/>
      </c>
      <c r="Y19">
        <f>SUMPRODUCT(((F_Dept="All")+(F_Dept="")+(tblActivity[Department]=F_Dept))*((F_Loc="All")+(F_Loc="")+(tblActivity[Area]=F_Loc))*(tblActivity[Year]=$B19)*(tblActivity[MonthName]=$C19)*tblActivity[TrainAssigned])</f>
        <v/>
      </c>
      <c r="Z19" s="56">
        <f>IFERROR(K19/Y19,0)</f>
        <v/>
      </c>
    </row>
    <row r="20">
      <c r="A20">
        <f>C20&amp;"-"&amp;RIGHT(B20,2)</f>
        <v/>
      </c>
      <c r="B20" t="n">
        <v>2025</v>
      </c>
      <c r="C20" t="inlineStr">
        <is>
          <t>Aug</t>
        </is>
      </c>
      <c r="D20">
        <f>SUMPRODUCT(((F_Dept="All")+(F_Dept="")+(tblIncidents[Department]=F_Dept))*((F_Loc="All")+(F_Loc="")+(tblIncidents[Area]=F_Loc))*(tblIncidents[Year]=$B20)*(tblIncidents[MonthName]=$C20))</f>
        <v/>
      </c>
      <c r="E20">
        <f>SUMPRODUCT(((F_Dept="All")+(F_Dept="")+(tblIncidents[Department]=F_Dept))*((F_Loc="All")+(F_Loc="")+(tblIncidents[Area]=F_Loc))*(tblIncidents[Year]=$B20)*(tblIncidents[MonthName]=$C20)*tblIncidents[Recordable])</f>
        <v/>
      </c>
      <c r="F20">
        <f>SUMPRODUCT(((F_Dept="All")+(F_Dept="")+(tblActivity[Department]=F_Dept))*((F_Loc="All")+(F_Loc="")+(tblActivity[Area]=F_Loc))*(tblActivity[Year]=$B20)*(tblActivity[MonthName]=$C20)*tblActivity[NearMisses])</f>
        <v/>
      </c>
      <c r="G20" s="56">
        <f>IFERROR(SUMPRODUCT(((F_Dept="All")+(F_Dept="")+(tblActivity[Department]=F_Dept))*((F_Loc="All")+(F_Loc="")+(tblActivity[Area]=F_Loc))*(tblActivity[Year]=$B20)*(tblActivity[MonthName]=$C20)*tblActivity[InspDone]*tblActivity[InspScore])/SUMPRODUCT(((F_Dept="All")+(F_Dept="")+(tblActivity[Department]=F_Dept))*((F_Loc="All")+(F_Loc="")+(tblActivity[Area]=F_Loc))*(tblActivity[Year]=$B20)*(tblActivity[MonthName]=$C20)*tblActivity[InspDone]),"")</f>
        <v/>
      </c>
      <c r="H20">
        <f>SUMPRODUCT(((F_Dept="All")+(F_Dept="")+(tblActivity[Department]=F_Dept))*((F_Loc="All")+(F_Loc="")+(tblActivity[Area]=F_Loc))*(tblActivity[Year]=$B20)*(tblActivity[MonthName]=$C20)*tblActivity[ManHours])</f>
        <v/>
      </c>
      <c r="I20" s="66">
        <f>IF(H20=0,0,E20/H20*RATE_BASE)</f>
        <v/>
      </c>
      <c r="J20">
        <f>SUMPRODUCT(((F_Dept="All")+(F_Dept="")+(tblActivity[Department]=F_Dept))*((F_Loc="All")+(F_Loc="")+(tblActivity[Area]=F_Loc))*(tblActivity[Year]=$B20)*(tblActivity[MonthName]=$C20)*tblActivity[InspDone])</f>
        <v/>
      </c>
      <c r="K20">
        <f>SUMPRODUCT(((F_Dept="All")+(F_Dept="")+(tblActivity[Department]=F_Dept))*((F_Loc="All")+(F_Loc="")+(tblActivity[Area]=F_Loc))*(tblActivity[Year]=$B20)*(tblActivity[MonthName]=$C20)*tblActivity[TrainCompleted])</f>
        <v/>
      </c>
      <c r="L20">
        <f>SUMPRODUCT(((F_Dept="All")+(F_Dept="")+(tblActivity[Department]=F_Dept))*((F_Loc="All")+(F_Loc="")+(tblActivity[Area]=F_Loc))*(tblActivity[Year]=$B20)*(tblActivity[MonthName]=$C20)*tblActivity[ObsRaised])</f>
        <v/>
      </c>
      <c r="Q20" t="inlineStr">
        <is>
          <t>Warehouse &amp; Stores</t>
        </is>
      </c>
      <c r="R20">
        <f>SUMPRODUCT(((F_Year="All")+(F_Year="")+(tblIncidents[Year]=F_Year))*((F_Month="All")+(F_Month="")+(tblIncidents[MonthName]=F_Month))*((F_Dept="All")+(F_Dept="")+(tblIncidents[Department]=F_Dept))*(tblIncidents[Area]=$Q20))</f>
        <v/>
      </c>
      <c r="W20">
        <f>SUMPRODUCT(((F_Dept="All")+(F_Dept="")+(tblActivity[Department]=F_Dept))*((F_Loc="All")+(F_Loc="")+(tblActivity[Area]=F_Loc))*(tblActivity[Year]=$B20)*(tblActivity[MonthName]=$C20)*tblActivity[InspPlanned])</f>
        <v/>
      </c>
      <c r="X20" s="56">
        <f>IFERROR(J20/W20,0)</f>
        <v/>
      </c>
      <c r="Y20">
        <f>SUMPRODUCT(((F_Dept="All")+(F_Dept="")+(tblActivity[Department]=F_Dept))*((F_Loc="All")+(F_Loc="")+(tblActivity[Area]=F_Loc))*(tblActivity[Year]=$B20)*(tblActivity[MonthName]=$C20)*tblActivity[TrainAssigned])</f>
        <v/>
      </c>
      <c r="Z20" s="56">
        <f>IFERROR(K20/Y20,0)</f>
        <v/>
      </c>
    </row>
    <row r="21">
      <c r="A21">
        <f>C21&amp;"-"&amp;RIGHT(B21,2)</f>
        <v/>
      </c>
      <c r="B21" t="n">
        <v>2025</v>
      </c>
      <c r="C21" t="inlineStr">
        <is>
          <t>Sep</t>
        </is>
      </c>
      <c r="D21">
        <f>SUMPRODUCT(((F_Dept="All")+(F_Dept="")+(tblIncidents[Department]=F_Dept))*((F_Loc="All")+(F_Loc="")+(tblIncidents[Area]=F_Loc))*(tblIncidents[Year]=$B21)*(tblIncidents[MonthName]=$C21))</f>
        <v/>
      </c>
      <c r="E21">
        <f>SUMPRODUCT(((F_Dept="All")+(F_Dept="")+(tblIncidents[Department]=F_Dept))*((F_Loc="All")+(F_Loc="")+(tblIncidents[Area]=F_Loc))*(tblIncidents[Year]=$B21)*(tblIncidents[MonthName]=$C21)*tblIncidents[Recordable])</f>
        <v/>
      </c>
      <c r="F21">
        <f>SUMPRODUCT(((F_Dept="All")+(F_Dept="")+(tblActivity[Department]=F_Dept))*((F_Loc="All")+(F_Loc="")+(tblActivity[Area]=F_Loc))*(tblActivity[Year]=$B21)*(tblActivity[MonthName]=$C21)*tblActivity[NearMisses])</f>
        <v/>
      </c>
      <c r="G21" s="56">
        <f>IFERROR(SUMPRODUCT(((F_Dept="All")+(F_Dept="")+(tblActivity[Department]=F_Dept))*((F_Loc="All")+(F_Loc="")+(tblActivity[Area]=F_Loc))*(tblActivity[Year]=$B21)*(tblActivity[MonthName]=$C21)*tblActivity[InspDone]*tblActivity[InspScore])/SUMPRODUCT(((F_Dept="All")+(F_Dept="")+(tblActivity[Department]=F_Dept))*((F_Loc="All")+(F_Loc="")+(tblActivity[Area]=F_Loc))*(tblActivity[Year]=$B21)*(tblActivity[MonthName]=$C21)*tblActivity[InspDone]),"")</f>
        <v/>
      </c>
      <c r="H21">
        <f>SUMPRODUCT(((F_Dept="All")+(F_Dept="")+(tblActivity[Department]=F_Dept))*((F_Loc="All")+(F_Loc="")+(tblActivity[Area]=F_Loc))*(tblActivity[Year]=$B21)*(tblActivity[MonthName]=$C21)*tblActivity[ManHours])</f>
        <v/>
      </c>
      <c r="I21" s="66">
        <f>IF(H21=0,0,E21/H21*RATE_BASE)</f>
        <v/>
      </c>
      <c r="J21">
        <f>SUMPRODUCT(((F_Dept="All")+(F_Dept="")+(tblActivity[Department]=F_Dept))*((F_Loc="All")+(F_Loc="")+(tblActivity[Area]=F_Loc))*(tblActivity[Year]=$B21)*(tblActivity[MonthName]=$C21)*tblActivity[InspDone])</f>
        <v/>
      </c>
      <c r="K21">
        <f>SUMPRODUCT(((F_Dept="All")+(F_Dept="")+(tblActivity[Department]=F_Dept))*((F_Loc="All")+(F_Loc="")+(tblActivity[Area]=F_Loc))*(tblActivity[Year]=$B21)*(tblActivity[MonthName]=$C21)*tblActivity[TrainCompleted])</f>
        <v/>
      </c>
      <c r="L21">
        <f>SUMPRODUCT(((F_Dept="All")+(F_Dept="")+(tblActivity[Department]=F_Dept))*((F_Loc="All")+(F_Loc="")+(tblActivity[Area]=F_Loc))*(tblActivity[Year]=$B21)*(tblActivity[MonthName]=$C21)*tblActivity[ObsRaised])</f>
        <v/>
      </c>
      <c r="Q21" t="inlineStr">
        <is>
          <t>Administration</t>
        </is>
      </c>
      <c r="R21">
        <f>SUMPRODUCT(((F_Year="All")+(F_Year="")+(tblIncidents[Year]=F_Year))*((F_Month="All")+(F_Month="")+(tblIncidents[MonthName]=F_Month))*((F_Dept="All")+(F_Dept="")+(tblIncidents[Department]=F_Dept))*(tblIncidents[Area]=$Q21))</f>
        <v/>
      </c>
      <c r="W21">
        <f>SUMPRODUCT(((F_Dept="All")+(F_Dept="")+(tblActivity[Department]=F_Dept))*((F_Loc="All")+(F_Loc="")+(tblActivity[Area]=F_Loc))*(tblActivity[Year]=$B21)*(tblActivity[MonthName]=$C21)*tblActivity[InspPlanned])</f>
        <v/>
      </c>
      <c r="X21" s="56">
        <f>IFERROR(J21/W21,0)</f>
        <v/>
      </c>
      <c r="Y21">
        <f>SUMPRODUCT(((F_Dept="All")+(F_Dept="")+(tblActivity[Department]=F_Dept))*((F_Loc="All")+(F_Loc="")+(tblActivity[Area]=F_Loc))*(tblActivity[Year]=$B21)*(tblActivity[MonthName]=$C21)*tblActivity[TrainAssigned])</f>
        <v/>
      </c>
      <c r="Z21" s="56">
        <f>IFERROR(K21/Y21,0)</f>
        <v/>
      </c>
    </row>
    <row r="22">
      <c r="A22">
        <f>C22&amp;"-"&amp;RIGHT(B22,2)</f>
        <v/>
      </c>
      <c r="B22" t="n">
        <v>2025</v>
      </c>
      <c r="C22" t="inlineStr">
        <is>
          <t>Oct</t>
        </is>
      </c>
      <c r="D22">
        <f>SUMPRODUCT(((F_Dept="All")+(F_Dept="")+(tblIncidents[Department]=F_Dept))*((F_Loc="All")+(F_Loc="")+(tblIncidents[Area]=F_Loc))*(tblIncidents[Year]=$B22)*(tblIncidents[MonthName]=$C22))</f>
        <v/>
      </c>
      <c r="E22">
        <f>SUMPRODUCT(((F_Dept="All")+(F_Dept="")+(tblIncidents[Department]=F_Dept))*((F_Loc="All")+(F_Loc="")+(tblIncidents[Area]=F_Loc))*(tblIncidents[Year]=$B22)*(tblIncidents[MonthName]=$C22)*tblIncidents[Recordable])</f>
        <v/>
      </c>
      <c r="F22">
        <f>SUMPRODUCT(((F_Dept="All")+(F_Dept="")+(tblActivity[Department]=F_Dept))*((F_Loc="All")+(F_Loc="")+(tblActivity[Area]=F_Loc))*(tblActivity[Year]=$B22)*(tblActivity[MonthName]=$C22)*tblActivity[NearMisses])</f>
        <v/>
      </c>
      <c r="G22" s="56">
        <f>IFERROR(SUMPRODUCT(((F_Dept="All")+(F_Dept="")+(tblActivity[Department]=F_Dept))*((F_Loc="All")+(F_Loc="")+(tblActivity[Area]=F_Loc))*(tblActivity[Year]=$B22)*(tblActivity[MonthName]=$C22)*tblActivity[InspDone]*tblActivity[InspScore])/SUMPRODUCT(((F_Dept="All")+(F_Dept="")+(tblActivity[Department]=F_Dept))*((F_Loc="All")+(F_Loc="")+(tblActivity[Area]=F_Loc))*(tblActivity[Year]=$B22)*(tblActivity[MonthName]=$C22)*tblActivity[InspDone]),"")</f>
        <v/>
      </c>
      <c r="H22">
        <f>SUMPRODUCT(((F_Dept="All")+(F_Dept="")+(tblActivity[Department]=F_Dept))*((F_Loc="All")+(F_Loc="")+(tblActivity[Area]=F_Loc))*(tblActivity[Year]=$B22)*(tblActivity[MonthName]=$C22)*tblActivity[ManHours])</f>
        <v/>
      </c>
      <c r="I22" s="66">
        <f>IF(H22=0,0,E22/H22*RATE_BASE)</f>
        <v/>
      </c>
      <c r="J22">
        <f>SUMPRODUCT(((F_Dept="All")+(F_Dept="")+(tblActivity[Department]=F_Dept))*((F_Loc="All")+(F_Loc="")+(tblActivity[Area]=F_Loc))*(tblActivity[Year]=$B22)*(tblActivity[MonthName]=$C22)*tblActivity[InspDone])</f>
        <v/>
      </c>
      <c r="K22">
        <f>SUMPRODUCT(((F_Dept="All")+(F_Dept="")+(tblActivity[Department]=F_Dept))*((F_Loc="All")+(F_Loc="")+(tblActivity[Area]=F_Loc))*(tblActivity[Year]=$B22)*(tblActivity[MonthName]=$C22)*tblActivity[TrainCompleted])</f>
        <v/>
      </c>
      <c r="L22">
        <f>SUMPRODUCT(((F_Dept="All")+(F_Dept="")+(tblActivity[Department]=F_Dept))*((F_Loc="All")+(F_Loc="")+(tblActivity[Area]=F_Loc))*(tblActivity[Year]=$B22)*(tblActivity[MonthName]=$C22)*tblActivity[ObsRaised])</f>
        <v/>
      </c>
      <c r="Q22" t="inlineStr">
        <is>
          <t>Accommodation Camp</t>
        </is>
      </c>
      <c r="R22">
        <f>SUMPRODUCT(((F_Year="All")+(F_Year="")+(tblIncidents[Year]=F_Year))*((F_Month="All")+(F_Month="")+(tblIncidents[MonthName]=F_Month))*((F_Dept="All")+(F_Dept="")+(tblIncidents[Department]=F_Dept))*(tblIncidents[Area]=$Q22))</f>
        <v/>
      </c>
      <c r="W22">
        <f>SUMPRODUCT(((F_Dept="All")+(F_Dept="")+(tblActivity[Department]=F_Dept))*((F_Loc="All")+(F_Loc="")+(tblActivity[Area]=F_Loc))*(tblActivity[Year]=$B22)*(tblActivity[MonthName]=$C22)*tblActivity[InspPlanned])</f>
        <v/>
      </c>
      <c r="X22" s="56">
        <f>IFERROR(J22/W22,0)</f>
        <v/>
      </c>
      <c r="Y22">
        <f>SUMPRODUCT(((F_Dept="All")+(F_Dept="")+(tblActivity[Department]=F_Dept))*((F_Loc="All")+(F_Loc="")+(tblActivity[Area]=F_Loc))*(tblActivity[Year]=$B22)*(tblActivity[MonthName]=$C22)*tblActivity[TrainAssigned])</f>
        <v/>
      </c>
      <c r="Z22" s="56">
        <f>IFERROR(K22/Y22,0)</f>
        <v/>
      </c>
    </row>
    <row r="23">
      <c r="A23">
        <f>C23&amp;"-"&amp;RIGHT(B23,2)</f>
        <v/>
      </c>
      <c r="B23" t="n">
        <v>2025</v>
      </c>
      <c r="C23" t="inlineStr">
        <is>
          <t>Nov</t>
        </is>
      </c>
      <c r="D23">
        <f>SUMPRODUCT(((F_Dept="All")+(F_Dept="")+(tblIncidents[Department]=F_Dept))*((F_Loc="All")+(F_Loc="")+(tblIncidents[Area]=F_Loc))*(tblIncidents[Year]=$B23)*(tblIncidents[MonthName]=$C23))</f>
        <v/>
      </c>
      <c r="E23">
        <f>SUMPRODUCT(((F_Dept="All")+(F_Dept="")+(tblIncidents[Department]=F_Dept))*((F_Loc="All")+(F_Loc="")+(tblIncidents[Area]=F_Loc))*(tblIncidents[Year]=$B23)*(tblIncidents[MonthName]=$C23)*tblIncidents[Recordable])</f>
        <v/>
      </c>
      <c r="F23">
        <f>SUMPRODUCT(((F_Dept="All")+(F_Dept="")+(tblActivity[Department]=F_Dept))*((F_Loc="All")+(F_Loc="")+(tblActivity[Area]=F_Loc))*(tblActivity[Year]=$B23)*(tblActivity[MonthName]=$C23)*tblActivity[NearMisses])</f>
        <v/>
      </c>
      <c r="G23" s="56">
        <f>IFERROR(SUMPRODUCT(((F_Dept="All")+(F_Dept="")+(tblActivity[Department]=F_Dept))*((F_Loc="All")+(F_Loc="")+(tblActivity[Area]=F_Loc))*(tblActivity[Year]=$B23)*(tblActivity[MonthName]=$C23)*tblActivity[InspDone]*tblActivity[InspScore])/SUMPRODUCT(((F_Dept="All")+(F_Dept="")+(tblActivity[Department]=F_Dept))*((F_Loc="All")+(F_Loc="")+(tblActivity[Area]=F_Loc))*(tblActivity[Year]=$B23)*(tblActivity[MonthName]=$C23)*tblActivity[InspDone]),"")</f>
        <v/>
      </c>
      <c r="H23">
        <f>SUMPRODUCT(((F_Dept="All")+(F_Dept="")+(tblActivity[Department]=F_Dept))*((F_Loc="All")+(F_Loc="")+(tblActivity[Area]=F_Loc))*(tblActivity[Year]=$B23)*(tblActivity[MonthName]=$C23)*tblActivity[ManHours])</f>
        <v/>
      </c>
      <c r="I23" s="66">
        <f>IF(H23=0,0,E23/H23*RATE_BASE)</f>
        <v/>
      </c>
      <c r="J23">
        <f>SUMPRODUCT(((F_Dept="All")+(F_Dept="")+(tblActivity[Department]=F_Dept))*((F_Loc="All")+(F_Loc="")+(tblActivity[Area]=F_Loc))*(tblActivity[Year]=$B23)*(tblActivity[MonthName]=$C23)*tblActivity[InspDone])</f>
        <v/>
      </c>
      <c r="K23">
        <f>SUMPRODUCT(((F_Dept="All")+(F_Dept="")+(tblActivity[Department]=F_Dept))*((F_Loc="All")+(F_Loc="")+(tblActivity[Area]=F_Loc))*(tblActivity[Year]=$B23)*(tblActivity[MonthName]=$C23)*tblActivity[TrainCompleted])</f>
        <v/>
      </c>
      <c r="L23">
        <f>SUMPRODUCT(((F_Dept="All")+(F_Dept="")+(tblActivity[Department]=F_Dept))*((F_Loc="All")+(F_Loc="")+(tblActivity[Area]=F_Loc))*(tblActivity[Year]=$B23)*(tblActivity[MonthName]=$C23)*tblActivity[ObsRaised])</f>
        <v/>
      </c>
      <c r="Q23" t="inlineStr">
        <is>
          <t>Security Gatehouse</t>
        </is>
      </c>
      <c r="R23">
        <f>SUMPRODUCT(((F_Year="All")+(F_Year="")+(tblIncidents[Year]=F_Year))*((F_Month="All")+(F_Month="")+(tblIncidents[MonthName]=F_Month))*((F_Dept="All")+(F_Dept="")+(tblIncidents[Department]=F_Dept))*(tblIncidents[Area]=$Q23))</f>
        <v/>
      </c>
      <c r="W23">
        <f>SUMPRODUCT(((F_Dept="All")+(F_Dept="")+(tblActivity[Department]=F_Dept))*((F_Loc="All")+(F_Loc="")+(tblActivity[Area]=F_Loc))*(tblActivity[Year]=$B23)*(tblActivity[MonthName]=$C23)*tblActivity[InspPlanned])</f>
        <v/>
      </c>
      <c r="X23" s="56">
        <f>IFERROR(J23/W23,0)</f>
        <v/>
      </c>
      <c r="Y23">
        <f>SUMPRODUCT(((F_Dept="All")+(F_Dept="")+(tblActivity[Department]=F_Dept))*((F_Loc="All")+(F_Loc="")+(tblActivity[Area]=F_Loc))*(tblActivity[Year]=$B23)*(tblActivity[MonthName]=$C23)*tblActivity[TrainAssigned])</f>
        <v/>
      </c>
      <c r="Z23" s="56">
        <f>IFERROR(K23/Y23,0)</f>
        <v/>
      </c>
    </row>
    <row r="24">
      <c r="A24">
        <f>C24&amp;"-"&amp;RIGHT(B24,2)</f>
        <v/>
      </c>
      <c r="B24" t="n">
        <v>2025</v>
      </c>
      <c r="C24" t="inlineStr">
        <is>
          <t>Dec</t>
        </is>
      </c>
      <c r="D24">
        <f>SUMPRODUCT(((F_Dept="All")+(F_Dept="")+(tblIncidents[Department]=F_Dept))*((F_Loc="All")+(F_Loc="")+(tblIncidents[Area]=F_Loc))*(tblIncidents[Year]=$B24)*(tblIncidents[MonthName]=$C24))</f>
        <v/>
      </c>
      <c r="E24">
        <f>SUMPRODUCT(((F_Dept="All")+(F_Dept="")+(tblIncidents[Department]=F_Dept))*((F_Loc="All")+(F_Loc="")+(tblIncidents[Area]=F_Loc))*(tblIncidents[Year]=$B24)*(tblIncidents[MonthName]=$C24)*tblIncidents[Recordable])</f>
        <v/>
      </c>
      <c r="F24">
        <f>SUMPRODUCT(((F_Dept="All")+(F_Dept="")+(tblActivity[Department]=F_Dept))*((F_Loc="All")+(F_Loc="")+(tblActivity[Area]=F_Loc))*(tblActivity[Year]=$B24)*(tblActivity[MonthName]=$C24)*tblActivity[NearMisses])</f>
        <v/>
      </c>
      <c r="G24" s="56">
        <f>IFERROR(SUMPRODUCT(((F_Dept="All")+(F_Dept="")+(tblActivity[Department]=F_Dept))*((F_Loc="All")+(F_Loc="")+(tblActivity[Area]=F_Loc))*(tblActivity[Year]=$B24)*(tblActivity[MonthName]=$C24)*tblActivity[InspDone]*tblActivity[InspScore])/SUMPRODUCT(((F_Dept="All")+(F_Dept="")+(tblActivity[Department]=F_Dept))*((F_Loc="All")+(F_Loc="")+(tblActivity[Area]=F_Loc))*(tblActivity[Year]=$B24)*(tblActivity[MonthName]=$C24)*tblActivity[InspDone]),"")</f>
        <v/>
      </c>
      <c r="H24">
        <f>SUMPRODUCT(((F_Dept="All")+(F_Dept="")+(tblActivity[Department]=F_Dept))*((F_Loc="All")+(F_Loc="")+(tblActivity[Area]=F_Loc))*(tblActivity[Year]=$B24)*(tblActivity[MonthName]=$C24)*tblActivity[ManHours])</f>
        <v/>
      </c>
      <c r="I24" s="66">
        <f>IF(H24=0,0,E24/H24*RATE_BASE)</f>
        <v/>
      </c>
      <c r="J24">
        <f>SUMPRODUCT(((F_Dept="All")+(F_Dept="")+(tblActivity[Department]=F_Dept))*((F_Loc="All")+(F_Loc="")+(tblActivity[Area]=F_Loc))*(tblActivity[Year]=$B24)*(tblActivity[MonthName]=$C24)*tblActivity[InspDone])</f>
        <v/>
      </c>
      <c r="K24">
        <f>SUMPRODUCT(((F_Dept="All")+(F_Dept="")+(tblActivity[Department]=F_Dept))*((F_Loc="All")+(F_Loc="")+(tblActivity[Area]=F_Loc))*(tblActivity[Year]=$B24)*(tblActivity[MonthName]=$C24)*tblActivity[TrainCompleted])</f>
        <v/>
      </c>
      <c r="L24">
        <f>SUMPRODUCT(((F_Dept="All")+(F_Dept="")+(tblActivity[Department]=F_Dept))*((F_Loc="All")+(F_Loc="")+(tblActivity[Area]=F_Loc))*(tblActivity[Year]=$B24)*(tblActivity[MonthName]=$C24)*tblActivity[ObsRaised])</f>
        <v/>
      </c>
      <c r="W24">
        <f>SUMPRODUCT(((F_Dept="All")+(F_Dept="")+(tblActivity[Department]=F_Dept))*((F_Loc="All")+(F_Loc="")+(tblActivity[Area]=F_Loc))*(tblActivity[Year]=$B24)*(tblActivity[MonthName]=$C24)*tblActivity[InspPlanned])</f>
        <v/>
      </c>
      <c r="X24" s="56">
        <f>IFERROR(J24/W24,0)</f>
        <v/>
      </c>
      <c r="Y24">
        <f>SUMPRODUCT(((F_Dept="All")+(F_Dept="")+(tblActivity[Department]=F_Dept))*((F_Loc="All")+(F_Loc="")+(tblActivity[Area]=F_Loc))*(tblActivity[Year]=$B24)*(tblActivity[MonthName]=$C24)*tblActivity[TrainAssigned])</f>
        <v/>
      </c>
      <c r="Z24" s="56">
        <f>IFERROR(K24/Y24,0)</f>
        <v/>
      </c>
    </row>
    <row r="25">
      <c r="A25">
        <f>C25&amp;"-"&amp;RIGHT(B25,2)</f>
        <v/>
      </c>
      <c r="B25" t="n">
        <v>2026</v>
      </c>
      <c r="C25" t="inlineStr">
        <is>
          <t>Jan</t>
        </is>
      </c>
      <c r="D25">
        <f>SUMPRODUCT(((F_Dept="All")+(F_Dept="")+(tblIncidents[Department]=F_Dept))*((F_Loc="All")+(F_Loc="")+(tblIncidents[Area]=F_Loc))*(tblIncidents[Year]=$B25)*(tblIncidents[MonthName]=$C25))</f>
        <v/>
      </c>
      <c r="E25">
        <f>SUMPRODUCT(((F_Dept="All")+(F_Dept="")+(tblIncidents[Department]=F_Dept))*((F_Loc="All")+(F_Loc="")+(tblIncidents[Area]=F_Loc))*(tblIncidents[Year]=$B25)*(tblIncidents[MonthName]=$C25)*tblIncidents[Recordable])</f>
        <v/>
      </c>
      <c r="F25">
        <f>SUMPRODUCT(((F_Dept="All")+(F_Dept="")+(tblActivity[Department]=F_Dept))*((F_Loc="All")+(F_Loc="")+(tblActivity[Area]=F_Loc))*(tblActivity[Year]=$B25)*(tblActivity[MonthName]=$C25)*tblActivity[NearMisses])</f>
        <v/>
      </c>
      <c r="G25" s="56">
        <f>IFERROR(SUMPRODUCT(((F_Dept="All")+(F_Dept="")+(tblActivity[Department]=F_Dept))*((F_Loc="All")+(F_Loc="")+(tblActivity[Area]=F_Loc))*(tblActivity[Year]=$B25)*(tblActivity[MonthName]=$C25)*tblActivity[InspDone]*tblActivity[InspScore])/SUMPRODUCT(((F_Dept="All")+(F_Dept="")+(tblActivity[Department]=F_Dept))*((F_Loc="All")+(F_Loc="")+(tblActivity[Area]=F_Loc))*(tblActivity[Year]=$B25)*(tblActivity[MonthName]=$C25)*tblActivity[InspDone]),"")</f>
        <v/>
      </c>
      <c r="H25">
        <f>SUMPRODUCT(((F_Dept="All")+(F_Dept="")+(tblActivity[Department]=F_Dept))*((F_Loc="All")+(F_Loc="")+(tblActivity[Area]=F_Loc))*(tblActivity[Year]=$B25)*(tblActivity[MonthName]=$C25)*tblActivity[ManHours])</f>
        <v/>
      </c>
      <c r="I25" s="66">
        <f>IF(H25=0,0,E25/H25*RATE_BASE)</f>
        <v/>
      </c>
      <c r="J25">
        <f>SUMPRODUCT(((F_Dept="All")+(F_Dept="")+(tblActivity[Department]=F_Dept))*((F_Loc="All")+(F_Loc="")+(tblActivity[Area]=F_Loc))*(tblActivity[Year]=$B25)*(tblActivity[MonthName]=$C25)*tblActivity[InspDone])</f>
        <v/>
      </c>
      <c r="K25">
        <f>SUMPRODUCT(((F_Dept="All")+(F_Dept="")+(tblActivity[Department]=F_Dept))*((F_Loc="All")+(F_Loc="")+(tblActivity[Area]=F_Loc))*(tblActivity[Year]=$B25)*(tblActivity[MonthName]=$C25)*tblActivity[TrainCompleted])</f>
        <v/>
      </c>
      <c r="L25">
        <f>SUMPRODUCT(((F_Dept="All")+(F_Dept="")+(tblActivity[Department]=F_Dept))*((F_Loc="All")+(F_Loc="")+(tblActivity[Area]=F_Loc))*(tblActivity[Year]=$B25)*(tblActivity[MonthName]=$C25)*tblActivity[ObsRaised])</f>
        <v/>
      </c>
      <c r="W25">
        <f>SUMPRODUCT(((F_Dept="All")+(F_Dept="")+(tblActivity[Department]=F_Dept))*((F_Loc="All")+(F_Loc="")+(tblActivity[Area]=F_Loc))*(tblActivity[Year]=$B25)*(tblActivity[MonthName]=$C25)*tblActivity[InspPlanned])</f>
        <v/>
      </c>
      <c r="X25" s="56">
        <f>IFERROR(J25/W25,0)</f>
        <v/>
      </c>
      <c r="Y25">
        <f>SUMPRODUCT(((F_Dept="All")+(F_Dept="")+(tblActivity[Department]=F_Dept))*((F_Loc="All")+(F_Loc="")+(tblActivity[Area]=F_Loc))*(tblActivity[Year]=$B25)*(tblActivity[MonthName]=$C25)*tblActivity[TrainAssigned])</f>
        <v/>
      </c>
      <c r="Z25" s="56">
        <f>IFERROR(K25/Y25,0)</f>
        <v/>
      </c>
    </row>
    <row r="26">
      <c r="A26">
        <f>C26&amp;"-"&amp;RIGHT(B26,2)</f>
        <v/>
      </c>
      <c r="B26" t="n">
        <v>2026</v>
      </c>
      <c r="C26" t="inlineStr">
        <is>
          <t>Feb</t>
        </is>
      </c>
      <c r="D26">
        <f>SUMPRODUCT(((F_Dept="All")+(F_Dept="")+(tblIncidents[Department]=F_Dept))*((F_Loc="All")+(F_Loc="")+(tblIncidents[Area]=F_Loc))*(tblIncidents[Year]=$B26)*(tblIncidents[MonthName]=$C26))</f>
        <v/>
      </c>
      <c r="E26">
        <f>SUMPRODUCT(((F_Dept="All")+(F_Dept="")+(tblIncidents[Department]=F_Dept))*((F_Loc="All")+(F_Loc="")+(tblIncidents[Area]=F_Loc))*(tblIncidents[Year]=$B26)*(tblIncidents[MonthName]=$C26)*tblIncidents[Recordable])</f>
        <v/>
      </c>
      <c r="F26">
        <f>SUMPRODUCT(((F_Dept="All")+(F_Dept="")+(tblActivity[Department]=F_Dept))*((F_Loc="All")+(F_Loc="")+(tblActivity[Area]=F_Loc))*(tblActivity[Year]=$B26)*(tblActivity[MonthName]=$C26)*tblActivity[NearMisses])</f>
        <v/>
      </c>
      <c r="G26" s="56">
        <f>IFERROR(SUMPRODUCT(((F_Dept="All")+(F_Dept="")+(tblActivity[Department]=F_Dept))*((F_Loc="All")+(F_Loc="")+(tblActivity[Area]=F_Loc))*(tblActivity[Year]=$B26)*(tblActivity[MonthName]=$C26)*tblActivity[InspDone]*tblActivity[InspScore])/SUMPRODUCT(((F_Dept="All")+(F_Dept="")+(tblActivity[Department]=F_Dept))*((F_Loc="All")+(F_Loc="")+(tblActivity[Area]=F_Loc))*(tblActivity[Year]=$B26)*(tblActivity[MonthName]=$C26)*tblActivity[InspDone]),"")</f>
        <v/>
      </c>
      <c r="H26">
        <f>SUMPRODUCT(((F_Dept="All")+(F_Dept="")+(tblActivity[Department]=F_Dept))*((F_Loc="All")+(F_Loc="")+(tblActivity[Area]=F_Loc))*(tblActivity[Year]=$B26)*(tblActivity[MonthName]=$C26)*tblActivity[ManHours])</f>
        <v/>
      </c>
      <c r="I26" s="66">
        <f>IF(H26=0,0,E26/H26*RATE_BASE)</f>
        <v/>
      </c>
      <c r="J26">
        <f>SUMPRODUCT(((F_Dept="All")+(F_Dept="")+(tblActivity[Department]=F_Dept))*((F_Loc="All")+(F_Loc="")+(tblActivity[Area]=F_Loc))*(tblActivity[Year]=$B26)*(tblActivity[MonthName]=$C26)*tblActivity[InspDone])</f>
        <v/>
      </c>
      <c r="K26">
        <f>SUMPRODUCT(((F_Dept="All")+(F_Dept="")+(tblActivity[Department]=F_Dept))*((F_Loc="All")+(F_Loc="")+(tblActivity[Area]=F_Loc))*(tblActivity[Year]=$B26)*(tblActivity[MonthName]=$C26)*tblActivity[TrainCompleted])</f>
        <v/>
      </c>
      <c r="L26">
        <f>SUMPRODUCT(((F_Dept="All")+(F_Dept="")+(tblActivity[Department]=F_Dept))*((F_Loc="All")+(F_Loc="")+(tblActivity[Area]=F_Loc))*(tblActivity[Year]=$B26)*(tblActivity[MonthName]=$C26)*tblActivity[ObsRaised])</f>
        <v/>
      </c>
      <c r="W26">
        <f>SUMPRODUCT(((F_Dept="All")+(F_Dept="")+(tblActivity[Department]=F_Dept))*((F_Loc="All")+(F_Loc="")+(tblActivity[Area]=F_Loc))*(tblActivity[Year]=$B26)*(tblActivity[MonthName]=$C26)*tblActivity[InspPlanned])</f>
        <v/>
      </c>
      <c r="X26" s="56">
        <f>IFERROR(J26/W26,0)</f>
        <v/>
      </c>
      <c r="Y26">
        <f>SUMPRODUCT(((F_Dept="All")+(F_Dept="")+(tblActivity[Department]=F_Dept))*((F_Loc="All")+(F_Loc="")+(tblActivity[Area]=F_Loc))*(tblActivity[Year]=$B26)*(tblActivity[MonthName]=$C26)*tblActivity[TrainAssigned])</f>
        <v/>
      </c>
      <c r="Z26" s="56">
        <f>IFERROR(K26/Y26,0)</f>
        <v/>
      </c>
    </row>
    <row r="27">
      <c r="A27">
        <f>C27&amp;"-"&amp;RIGHT(B27,2)</f>
        <v/>
      </c>
      <c r="B27" t="n">
        <v>2026</v>
      </c>
      <c r="C27" t="inlineStr">
        <is>
          <t>Mar</t>
        </is>
      </c>
      <c r="D27">
        <f>SUMPRODUCT(((F_Dept="All")+(F_Dept="")+(tblIncidents[Department]=F_Dept))*((F_Loc="All")+(F_Loc="")+(tblIncidents[Area]=F_Loc))*(tblIncidents[Year]=$B27)*(tblIncidents[MonthName]=$C27))</f>
        <v/>
      </c>
      <c r="E27">
        <f>SUMPRODUCT(((F_Dept="All")+(F_Dept="")+(tblIncidents[Department]=F_Dept))*((F_Loc="All")+(F_Loc="")+(tblIncidents[Area]=F_Loc))*(tblIncidents[Year]=$B27)*(tblIncidents[MonthName]=$C27)*tblIncidents[Recordable])</f>
        <v/>
      </c>
      <c r="F27">
        <f>SUMPRODUCT(((F_Dept="All")+(F_Dept="")+(tblActivity[Department]=F_Dept))*((F_Loc="All")+(F_Loc="")+(tblActivity[Area]=F_Loc))*(tblActivity[Year]=$B27)*(tblActivity[MonthName]=$C27)*tblActivity[NearMisses])</f>
        <v/>
      </c>
      <c r="G27" s="56">
        <f>IFERROR(SUMPRODUCT(((F_Dept="All")+(F_Dept="")+(tblActivity[Department]=F_Dept))*((F_Loc="All")+(F_Loc="")+(tblActivity[Area]=F_Loc))*(tblActivity[Year]=$B27)*(tblActivity[MonthName]=$C27)*tblActivity[InspDone]*tblActivity[InspScore])/SUMPRODUCT(((F_Dept="All")+(F_Dept="")+(tblActivity[Department]=F_Dept))*((F_Loc="All")+(F_Loc="")+(tblActivity[Area]=F_Loc))*(tblActivity[Year]=$B27)*(tblActivity[MonthName]=$C27)*tblActivity[InspDone]),"")</f>
        <v/>
      </c>
      <c r="H27">
        <f>SUMPRODUCT(((F_Dept="All")+(F_Dept="")+(tblActivity[Department]=F_Dept))*((F_Loc="All")+(F_Loc="")+(tblActivity[Area]=F_Loc))*(tblActivity[Year]=$B27)*(tblActivity[MonthName]=$C27)*tblActivity[ManHours])</f>
        <v/>
      </c>
      <c r="I27" s="66">
        <f>IF(H27=0,0,E27/H27*RATE_BASE)</f>
        <v/>
      </c>
      <c r="J27">
        <f>SUMPRODUCT(((F_Dept="All")+(F_Dept="")+(tblActivity[Department]=F_Dept))*((F_Loc="All")+(F_Loc="")+(tblActivity[Area]=F_Loc))*(tblActivity[Year]=$B27)*(tblActivity[MonthName]=$C27)*tblActivity[InspDone])</f>
        <v/>
      </c>
      <c r="K27">
        <f>SUMPRODUCT(((F_Dept="All")+(F_Dept="")+(tblActivity[Department]=F_Dept))*((F_Loc="All")+(F_Loc="")+(tblActivity[Area]=F_Loc))*(tblActivity[Year]=$B27)*(tblActivity[MonthName]=$C27)*tblActivity[TrainCompleted])</f>
        <v/>
      </c>
      <c r="L27">
        <f>SUMPRODUCT(((F_Dept="All")+(F_Dept="")+(tblActivity[Department]=F_Dept))*((F_Loc="All")+(F_Loc="")+(tblActivity[Area]=F_Loc))*(tblActivity[Year]=$B27)*(tblActivity[MonthName]=$C27)*tblActivity[ObsRaised])</f>
        <v/>
      </c>
      <c r="W27">
        <f>SUMPRODUCT(((F_Dept="All")+(F_Dept="")+(tblActivity[Department]=F_Dept))*((F_Loc="All")+(F_Loc="")+(tblActivity[Area]=F_Loc))*(tblActivity[Year]=$B27)*(tblActivity[MonthName]=$C27)*tblActivity[InspPlanned])</f>
        <v/>
      </c>
      <c r="X27" s="56">
        <f>IFERROR(J27/W27,0)</f>
        <v/>
      </c>
      <c r="Y27">
        <f>SUMPRODUCT(((F_Dept="All")+(F_Dept="")+(tblActivity[Department]=F_Dept))*((F_Loc="All")+(F_Loc="")+(tblActivity[Area]=F_Loc))*(tblActivity[Year]=$B27)*(tblActivity[MonthName]=$C27)*tblActivity[TrainAssigned])</f>
        <v/>
      </c>
      <c r="Z27" s="56">
        <f>IFERROR(K27/Y27,0)</f>
        <v/>
      </c>
    </row>
    <row r="28">
      <c r="A28">
        <f>C28&amp;"-"&amp;RIGHT(B28,2)</f>
        <v/>
      </c>
      <c r="B28" t="n">
        <v>2026</v>
      </c>
      <c r="C28" t="inlineStr">
        <is>
          <t>Apr</t>
        </is>
      </c>
      <c r="D28">
        <f>SUMPRODUCT(((F_Dept="All")+(F_Dept="")+(tblIncidents[Department]=F_Dept))*((F_Loc="All")+(F_Loc="")+(tblIncidents[Area]=F_Loc))*(tblIncidents[Year]=$B28)*(tblIncidents[MonthName]=$C28))</f>
        <v/>
      </c>
      <c r="E28">
        <f>SUMPRODUCT(((F_Dept="All")+(F_Dept="")+(tblIncidents[Department]=F_Dept))*((F_Loc="All")+(F_Loc="")+(tblIncidents[Area]=F_Loc))*(tblIncidents[Year]=$B28)*(tblIncidents[MonthName]=$C28)*tblIncidents[Recordable])</f>
        <v/>
      </c>
      <c r="F28">
        <f>SUMPRODUCT(((F_Dept="All")+(F_Dept="")+(tblActivity[Department]=F_Dept))*((F_Loc="All")+(F_Loc="")+(tblActivity[Area]=F_Loc))*(tblActivity[Year]=$B28)*(tblActivity[MonthName]=$C28)*tblActivity[NearMisses])</f>
        <v/>
      </c>
      <c r="G28" s="56">
        <f>IFERROR(SUMPRODUCT(((F_Dept="All")+(F_Dept="")+(tblActivity[Department]=F_Dept))*((F_Loc="All")+(F_Loc="")+(tblActivity[Area]=F_Loc))*(tblActivity[Year]=$B28)*(tblActivity[MonthName]=$C28)*tblActivity[InspDone]*tblActivity[InspScore])/SUMPRODUCT(((F_Dept="All")+(F_Dept="")+(tblActivity[Department]=F_Dept))*((F_Loc="All")+(F_Loc="")+(tblActivity[Area]=F_Loc))*(tblActivity[Year]=$B28)*(tblActivity[MonthName]=$C28)*tblActivity[InspDone]),"")</f>
        <v/>
      </c>
      <c r="H28">
        <f>SUMPRODUCT(((F_Dept="All")+(F_Dept="")+(tblActivity[Department]=F_Dept))*((F_Loc="All")+(F_Loc="")+(tblActivity[Area]=F_Loc))*(tblActivity[Year]=$B28)*(tblActivity[MonthName]=$C28)*tblActivity[ManHours])</f>
        <v/>
      </c>
      <c r="I28" s="66">
        <f>IF(H28=0,0,E28/H28*RATE_BASE)</f>
        <v/>
      </c>
      <c r="J28">
        <f>SUMPRODUCT(((F_Dept="All")+(F_Dept="")+(tblActivity[Department]=F_Dept))*((F_Loc="All")+(F_Loc="")+(tblActivity[Area]=F_Loc))*(tblActivity[Year]=$B28)*(tblActivity[MonthName]=$C28)*tblActivity[InspDone])</f>
        <v/>
      </c>
      <c r="K28">
        <f>SUMPRODUCT(((F_Dept="All")+(F_Dept="")+(tblActivity[Department]=F_Dept))*((F_Loc="All")+(F_Loc="")+(tblActivity[Area]=F_Loc))*(tblActivity[Year]=$B28)*(tblActivity[MonthName]=$C28)*tblActivity[TrainCompleted])</f>
        <v/>
      </c>
      <c r="L28">
        <f>SUMPRODUCT(((F_Dept="All")+(F_Dept="")+(tblActivity[Department]=F_Dept))*((F_Loc="All")+(F_Loc="")+(tblActivity[Area]=F_Loc))*(tblActivity[Year]=$B28)*(tblActivity[MonthName]=$C28)*tblActivity[ObsRaised])</f>
        <v/>
      </c>
      <c r="W28">
        <f>SUMPRODUCT(((F_Dept="All")+(F_Dept="")+(tblActivity[Department]=F_Dept))*((F_Loc="All")+(F_Loc="")+(tblActivity[Area]=F_Loc))*(tblActivity[Year]=$B28)*(tblActivity[MonthName]=$C28)*tblActivity[InspPlanned])</f>
        <v/>
      </c>
      <c r="X28" s="56">
        <f>IFERROR(J28/W28,0)</f>
        <v/>
      </c>
      <c r="Y28">
        <f>SUMPRODUCT(((F_Dept="All")+(F_Dept="")+(tblActivity[Department]=F_Dept))*((F_Loc="All")+(F_Loc="")+(tblActivity[Area]=F_Loc))*(tblActivity[Year]=$B28)*(tblActivity[MonthName]=$C28)*tblActivity[TrainAssigned])</f>
        <v/>
      </c>
      <c r="Z28" s="56">
        <f>IFERROR(K28/Y28,0)</f>
        <v/>
      </c>
    </row>
    <row r="29">
      <c r="A29">
        <f>C29&amp;"-"&amp;RIGHT(B29,2)</f>
        <v/>
      </c>
      <c r="B29" t="n">
        <v>2026</v>
      </c>
      <c r="C29" t="inlineStr">
        <is>
          <t>May</t>
        </is>
      </c>
      <c r="D29">
        <f>SUMPRODUCT(((F_Dept="All")+(F_Dept="")+(tblIncidents[Department]=F_Dept))*((F_Loc="All")+(F_Loc="")+(tblIncidents[Area]=F_Loc))*(tblIncidents[Year]=$B29)*(tblIncidents[MonthName]=$C29))</f>
        <v/>
      </c>
      <c r="E29">
        <f>SUMPRODUCT(((F_Dept="All")+(F_Dept="")+(tblIncidents[Department]=F_Dept))*((F_Loc="All")+(F_Loc="")+(tblIncidents[Area]=F_Loc))*(tblIncidents[Year]=$B29)*(tblIncidents[MonthName]=$C29)*tblIncidents[Recordable])</f>
        <v/>
      </c>
      <c r="F29">
        <f>SUMPRODUCT(((F_Dept="All")+(F_Dept="")+(tblActivity[Department]=F_Dept))*((F_Loc="All")+(F_Loc="")+(tblActivity[Area]=F_Loc))*(tblActivity[Year]=$B29)*(tblActivity[MonthName]=$C29)*tblActivity[NearMisses])</f>
        <v/>
      </c>
      <c r="G29" s="56">
        <f>IFERROR(SUMPRODUCT(((F_Dept="All")+(F_Dept="")+(tblActivity[Department]=F_Dept))*((F_Loc="All")+(F_Loc="")+(tblActivity[Area]=F_Loc))*(tblActivity[Year]=$B29)*(tblActivity[MonthName]=$C29)*tblActivity[InspDone]*tblActivity[InspScore])/SUMPRODUCT(((F_Dept="All")+(F_Dept="")+(tblActivity[Department]=F_Dept))*((F_Loc="All")+(F_Loc="")+(tblActivity[Area]=F_Loc))*(tblActivity[Year]=$B29)*(tblActivity[MonthName]=$C29)*tblActivity[InspDone]),"")</f>
        <v/>
      </c>
      <c r="H29">
        <f>SUMPRODUCT(((F_Dept="All")+(F_Dept="")+(tblActivity[Department]=F_Dept))*((F_Loc="All")+(F_Loc="")+(tblActivity[Area]=F_Loc))*(tblActivity[Year]=$B29)*(tblActivity[MonthName]=$C29)*tblActivity[ManHours])</f>
        <v/>
      </c>
      <c r="I29" s="66">
        <f>IF(H29=0,0,E29/H29*RATE_BASE)</f>
        <v/>
      </c>
      <c r="J29">
        <f>SUMPRODUCT(((F_Dept="All")+(F_Dept="")+(tblActivity[Department]=F_Dept))*((F_Loc="All")+(F_Loc="")+(tblActivity[Area]=F_Loc))*(tblActivity[Year]=$B29)*(tblActivity[MonthName]=$C29)*tblActivity[InspDone])</f>
        <v/>
      </c>
      <c r="K29">
        <f>SUMPRODUCT(((F_Dept="All")+(F_Dept="")+(tblActivity[Department]=F_Dept))*((F_Loc="All")+(F_Loc="")+(tblActivity[Area]=F_Loc))*(tblActivity[Year]=$B29)*(tblActivity[MonthName]=$C29)*tblActivity[TrainCompleted])</f>
        <v/>
      </c>
      <c r="L29">
        <f>SUMPRODUCT(((F_Dept="All")+(F_Dept="")+(tblActivity[Department]=F_Dept))*((F_Loc="All")+(F_Loc="")+(tblActivity[Area]=F_Loc))*(tblActivity[Year]=$B29)*(tblActivity[MonthName]=$C29)*tblActivity[ObsRaised])</f>
        <v/>
      </c>
      <c r="W29">
        <f>SUMPRODUCT(((F_Dept="All")+(F_Dept="")+(tblActivity[Department]=F_Dept))*((F_Loc="All")+(F_Loc="")+(tblActivity[Area]=F_Loc))*(tblActivity[Year]=$B29)*(tblActivity[MonthName]=$C29)*tblActivity[InspPlanned])</f>
        <v/>
      </c>
      <c r="X29" s="56">
        <f>IFERROR(J29/W29,0)</f>
        <v/>
      </c>
      <c r="Y29">
        <f>SUMPRODUCT(((F_Dept="All")+(F_Dept="")+(tblActivity[Department]=F_Dept))*((F_Loc="All")+(F_Loc="")+(tblActivity[Area]=F_Loc))*(tblActivity[Year]=$B29)*(tblActivity[MonthName]=$C29)*tblActivity[TrainAssigned])</f>
        <v/>
      </c>
      <c r="Z29" s="56">
        <f>IFERROR(K29/Y29,0)</f>
        <v/>
      </c>
    </row>
  </sheetData>
  <mergeCells count="2">
    <mergeCell ref="A1:Z2"/>
    <mergeCell ref="A3:Z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2026-05-31T12:23:41Z</dcterms:created>
  <dcterms:modified xsi:type="dcterms:W3CDTF">2026-05-31T12:23:43Z</dcterms:modified>
</cp:coreProperties>
</file>